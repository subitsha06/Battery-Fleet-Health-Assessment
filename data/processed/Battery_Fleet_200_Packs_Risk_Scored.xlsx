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harat_RJ\Downloads\"/>
    </mc:Choice>
  </mc:AlternateContent>
  <bookViews>
    <workbookView xWindow="0" yWindow="0" windowWidth="16380" windowHeight="8196" tabRatio="500" activeTab="1"/>
  </bookViews>
  <sheets>
    <sheet name="Data" sheetId="2" r:id="rId1"/>
    <sheet name="Statistics" sheetId="3" r:id="rId2"/>
    <sheet name="Thresholds" sheetId="1" r:id="rId3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8" i="3" l="1"/>
  <c r="F58" i="3"/>
  <c r="E58" i="3"/>
  <c r="D58" i="3"/>
  <c r="C58" i="3"/>
  <c r="B58" i="3"/>
  <c r="G57" i="3"/>
  <c r="F57" i="3"/>
  <c r="E57" i="3"/>
  <c r="D57" i="3"/>
  <c r="C57" i="3"/>
  <c r="B57" i="3"/>
  <c r="G56" i="3"/>
  <c r="F56" i="3"/>
  <c r="E56" i="3"/>
  <c r="D56" i="3"/>
  <c r="C56" i="3"/>
  <c r="B56" i="3"/>
  <c r="G55" i="3"/>
  <c r="F55" i="3"/>
  <c r="E55" i="3"/>
  <c r="D55" i="3"/>
  <c r="C55" i="3"/>
  <c r="B55" i="3"/>
  <c r="G54" i="3"/>
  <c r="F54" i="3"/>
  <c r="E54" i="3"/>
  <c r="D54" i="3"/>
  <c r="C54" i="3"/>
  <c r="B54" i="3"/>
  <c r="G53" i="3"/>
  <c r="F53" i="3"/>
  <c r="E53" i="3"/>
  <c r="D53" i="3"/>
  <c r="C53" i="3"/>
  <c r="B53" i="3"/>
  <c r="F37" i="3"/>
  <c r="E37" i="3"/>
  <c r="D37" i="3"/>
  <c r="C37" i="3"/>
  <c r="B37" i="3"/>
  <c r="F36" i="3"/>
  <c r="E36" i="3"/>
  <c r="D36" i="3"/>
  <c r="C36" i="3"/>
  <c r="B36" i="3"/>
  <c r="F35" i="3"/>
  <c r="E35" i="3"/>
  <c r="D35" i="3"/>
  <c r="C35" i="3"/>
  <c r="B35" i="3"/>
  <c r="F34" i="3"/>
  <c r="E34" i="3"/>
  <c r="D34" i="3"/>
  <c r="C34" i="3"/>
  <c r="B34" i="3"/>
  <c r="F33" i="3"/>
  <c r="E33" i="3"/>
  <c r="D33" i="3"/>
  <c r="C33" i="3"/>
  <c r="B33" i="3"/>
  <c r="F32" i="3"/>
  <c r="E32" i="3"/>
  <c r="D32" i="3"/>
  <c r="C32" i="3"/>
  <c r="B32" i="3"/>
  <c r="F31" i="3"/>
  <c r="E31" i="3"/>
  <c r="D31" i="3"/>
  <c r="C31" i="3"/>
  <c r="B31" i="3"/>
  <c r="F30" i="3"/>
  <c r="E30" i="3"/>
  <c r="D30" i="3"/>
  <c r="C30" i="3"/>
  <c r="B30" i="3"/>
  <c r="F29" i="3"/>
  <c r="E29" i="3"/>
  <c r="D29" i="3"/>
  <c r="C29" i="3"/>
  <c r="B29" i="3"/>
  <c r="R201" i="2"/>
  <c r="Q201" i="2"/>
  <c r="P201" i="2"/>
  <c r="O201" i="2"/>
  <c r="R200" i="2"/>
  <c r="Q200" i="2"/>
  <c r="P200" i="2"/>
  <c r="O200" i="2"/>
  <c r="R199" i="2"/>
  <c r="Q199" i="2"/>
  <c r="P199" i="2"/>
  <c r="O199" i="2"/>
  <c r="R198" i="2"/>
  <c r="Q198" i="2"/>
  <c r="P198" i="2"/>
  <c r="O198" i="2"/>
  <c r="R197" i="2"/>
  <c r="Q197" i="2"/>
  <c r="P197" i="2"/>
  <c r="O197" i="2"/>
  <c r="R196" i="2"/>
  <c r="Q196" i="2"/>
  <c r="P196" i="2"/>
  <c r="O196" i="2"/>
  <c r="R195" i="2"/>
  <c r="Q195" i="2"/>
  <c r="P195" i="2"/>
  <c r="O195" i="2"/>
  <c r="R194" i="2"/>
  <c r="Q194" i="2"/>
  <c r="P194" i="2"/>
  <c r="O194" i="2"/>
  <c r="R193" i="2"/>
  <c r="Q193" i="2"/>
  <c r="P193" i="2"/>
  <c r="O193" i="2"/>
  <c r="R192" i="2"/>
  <c r="Q192" i="2"/>
  <c r="P192" i="2"/>
  <c r="O192" i="2"/>
  <c r="R191" i="2"/>
  <c r="Q191" i="2"/>
  <c r="P191" i="2"/>
  <c r="O191" i="2"/>
  <c r="R190" i="2"/>
  <c r="Q190" i="2"/>
  <c r="P190" i="2"/>
  <c r="O190" i="2"/>
  <c r="R189" i="2"/>
  <c r="Q189" i="2"/>
  <c r="P189" i="2"/>
  <c r="O189" i="2"/>
  <c r="R188" i="2"/>
  <c r="Q188" i="2"/>
  <c r="P188" i="2"/>
  <c r="O188" i="2"/>
  <c r="R187" i="2"/>
  <c r="Q187" i="2"/>
  <c r="P187" i="2"/>
  <c r="O187" i="2"/>
  <c r="R186" i="2"/>
  <c r="Q186" i="2"/>
  <c r="P186" i="2"/>
  <c r="O186" i="2"/>
  <c r="R185" i="2"/>
  <c r="Q185" i="2"/>
  <c r="P185" i="2"/>
  <c r="O185" i="2"/>
  <c r="R184" i="2"/>
  <c r="Q184" i="2"/>
  <c r="P184" i="2"/>
  <c r="O184" i="2"/>
  <c r="R183" i="2"/>
  <c r="Q183" i="2"/>
  <c r="P183" i="2"/>
  <c r="O183" i="2"/>
  <c r="R182" i="2"/>
  <c r="Q182" i="2"/>
  <c r="P182" i="2"/>
  <c r="O182" i="2"/>
  <c r="R181" i="2"/>
  <c r="Q181" i="2"/>
  <c r="P181" i="2"/>
  <c r="O181" i="2"/>
  <c r="R180" i="2"/>
  <c r="Q180" i="2"/>
  <c r="P180" i="2"/>
  <c r="O180" i="2"/>
  <c r="R179" i="2"/>
  <c r="Q179" i="2"/>
  <c r="P179" i="2"/>
  <c r="O179" i="2"/>
  <c r="R178" i="2"/>
  <c r="Q178" i="2"/>
  <c r="P178" i="2"/>
  <c r="O178" i="2"/>
  <c r="R177" i="2"/>
  <c r="Q177" i="2"/>
  <c r="P177" i="2"/>
  <c r="O177" i="2"/>
  <c r="R176" i="2"/>
  <c r="Q176" i="2"/>
  <c r="P176" i="2"/>
  <c r="O176" i="2"/>
  <c r="R175" i="2"/>
  <c r="Q175" i="2"/>
  <c r="P175" i="2"/>
  <c r="O175" i="2"/>
  <c r="R174" i="2"/>
  <c r="Q174" i="2"/>
  <c r="P174" i="2"/>
  <c r="O174" i="2"/>
  <c r="R173" i="2"/>
  <c r="Q173" i="2"/>
  <c r="P173" i="2"/>
  <c r="O173" i="2"/>
  <c r="R172" i="2"/>
  <c r="Q172" i="2"/>
  <c r="P172" i="2"/>
  <c r="O172" i="2"/>
  <c r="R171" i="2"/>
  <c r="Q171" i="2"/>
  <c r="P171" i="2"/>
  <c r="O171" i="2"/>
  <c r="R170" i="2"/>
  <c r="Q170" i="2"/>
  <c r="P170" i="2"/>
  <c r="O170" i="2"/>
  <c r="R169" i="2"/>
  <c r="Q169" i="2"/>
  <c r="P169" i="2"/>
  <c r="O169" i="2"/>
  <c r="R168" i="2"/>
  <c r="Q168" i="2"/>
  <c r="P168" i="2"/>
  <c r="O168" i="2"/>
  <c r="R167" i="2"/>
  <c r="Q167" i="2"/>
  <c r="P167" i="2"/>
  <c r="O167" i="2"/>
  <c r="R166" i="2"/>
  <c r="Q166" i="2"/>
  <c r="P166" i="2"/>
  <c r="O166" i="2"/>
  <c r="R165" i="2"/>
  <c r="Q165" i="2"/>
  <c r="P165" i="2"/>
  <c r="O165" i="2"/>
  <c r="R164" i="2"/>
  <c r="Q164" i="2"/>
  <c r="P164" i="2"/>
  <c r="O164" i="2"/>
  <c r="R163" i="2"/>
  <c r="Q163" i="2"/>
  <c r="P163" i="2"/>
  <c r="O163" i="2"/>
  <c r="R162" i="2"/>
  <c r="Q162" i="2"/>
  <c r="P162" i="2"/>
  <c r="O162" i="2"/>
  <c r="R161" i="2"/>
  <c r="Q161" i="2"/>
  <c r="P161" i="2"/>
  <c r="O161" i="2"/>
  <c r="R160" i="2"/>
  <c r="Q160" i="2"/>
  <c r="P160" i="2"/>
  <c r="O160" i="2"/>
  <c r="R159" i="2"/>
  <c r="Q159" i="2"/>
  <c r="P159" i="2"/>
  <c r="O159" i="2"/>
  <c r="R158" i="2"/>
  <c r="Q158" i="2"/>
  <c r="P158" i="2"/>
  <c r="O158" i="2"/>
  <c r="R157" i="2"/>
  <c r="Q157" i="2"/>
  <c r="P157" i="2"/>
  <c r="O157" i="2"/>
  <c r="R156" i="2"/>
  <c r="Q156" i="2"/>
  <c r="P156" i="2"/>
  <c r="O156" i="2"/>
  <c r="R155" i="2"/>
  <c r="Q155" i="2"/>
  <c r="P155" i="2"/>
  <c r="O155" i="2"/>
  <c r="R154" i="2"/>
  <c r="Q154" i="2"/>
  <c r="P154" i="2"/>
  <c r="O154" i="2"/>
  <c r="R153" i="2"/>
  <c r="Q153" i="2"/>
  <c r="P153" i="2"/>
  <c r="O153" i="2"/>
  <c r="R152" i="2"/>
  <c r="Q152" i="2"/>
  <c r="P152" i="2"/>
  <c r="O152" i="2"/>
  <c r="R151" i="2"/>
  <c r="Q151" i="2"/>
  <c r="P151" i="2"/>
  <c r="O151" i="2"/>
  <c r="R150" i="2"/>
  <c r="Q150" i="2"/>
  <c r="P150" i="2"/>
  <c r="O150" i="2"/>
  <c r="R149" i="2"/>
  <c r="Q149" i="2"/>
  <c r="P149" i="2"/>
  <c r="O149" i="2"/>
  <c r="R148" i="2"/>
  <c r="Q148" i="2"/>
  <c r="P148" i="2"/>
  <c r="O148" i="2"/>
  <c r="R147" i="2"/>
  <c r="Q147" i="2"/>
  <c r="P147" i="2"/>
  <c r="O147" i="2"/>
  <c r="R146" i="2"/>
  <c r="Q146" i="2"/>
  <c r="P146" i="2"/>
  <c r="O146" i="2"/>
  <c r="R145" i="2"/>
  <c r="Q145" i="2"/>
  <c r="P145" i="2"/>
  <c r="O145" i="2"/>
  <c r="R144" i="2"/>
  <c r="Q144" i="2"/>
  <c r="P144" i="2"/>
  <c r="O144" i="2"/>
  <c r="R143" i="2"/>
  <c r="Q143" i="2"/>
  <c r="P143" i="2"/>
  <c r="O143" i="2"/>
  <c r="R142" i="2"/>
  <c r="Q142" i="2"/>
  <c r="P142" i="2"/>
  <c r="O142" i="2"/>
  <c r="R141" i="2"/>
  <c r="Q141" i="2"/>
  <c r="P141" i="2"/>
  <c r="O141" i="2"/>
  <c r="R140" i="2"/>
  <c r="Q140" i="2"/>
  <c r="P140" i="2"/>
  <c r="O140" i="2"/>
  <c r="R139" i="2"/>
  <c r="Q139" i="2"/>
  <c r="P139" i="2"/>
  <c r="O139" i="2"/>
  <c r="R138" i="2"/>
  <c r="Q138" i="2"/>
  <c r="P138" i="2"/>
  <c r="O138" i="2"/>
  <c r="R137" i="2"/>
  <c r="Q137" i="2"/>
  <c r="P137" i="2"/>
  <c r="O137" i="2"/>
  <c r="R136" i="2"/>
  <c r="Q136" i="2"/>
  <c r="P136" i="2"/>
  <c r="O136" i="2"/>
  <c r="R135" i="2"/>
  <c r="Q135" i="2"/>
  <c r="P135" i="2"/>
  <c r="O135" i="2"/>
  <c r="R134" i="2"/>
  <c r="Q134" i="2"/>
  <c r="P134" i="2"/>
  <c r="O134" i="2"/>
  <c r="R133" i="2"/>
  <c r="Q133" i="2"/>
  <c r="P133" i="2"/>
  <c r="O133" i="2"/>
  <c r="R132" i="2"/>
  <c r="Q132" i="2"/>
  <c r="P132" i="2"/>
  <c r="O132" i="2"/>
  <c r="R131" i="2"/>
  <c r="Q131" i="2"/>
  <c r="P131" i="2"/>
  <c r="O131" i="2"/>
  <c r="R130" i="2"/>
  <c r="Q130" i="2"/>
  <c r="P130" i="2"/>
  <c r="O130" i="2"/>
  <c r="R129" i="2"/>
  <c r="Q129" i="2"/>
  <c r="P129" i="2"/>
  <c r="O129" i="2"/>
  <c r="R128" i="2"/>
  <c r="Q128" i="2"/>
  <c r="P128" i="2"/>
  <c r="O128" i="2"/>
  <c r="R127" i="2"/>
  <c r="Q127" i="2"/>
  <c r="P127" i="2"/>
  <c r="O127" i="2"/>
  <c r="R126" i="2"/>
  <c r="Q126" i="2"/>
  <c r="P126" i="2"/>
  <c r="O126" i="2"/>
  <c r="R125" i="2"/>
  <c r="Q125" i="2"/>
  <c r="P125" i="2"/>
  <c r="O125" i="2"/>
  <c r="R124" i="2"/>
  <c r="Q124" i="2"/>
  <c r="P124" i="2"/>
  <c r="O124" i="2"/>
  <c r="R123" i="2"/>
  <c r="Q123" i="2"/>
  <c r="P123" i="2"/>
  <c r="O123" i="2"/>
  <c r="R122" i="2"/>
  <c r="Q122" i="2"/>
  <c r="P122" i="2"/>
  <c r="O122" i="2"/>
  <c r="R121" i="2"/>
  <c r="Q121" i="2"/>
  <c r="P121" i="2"/>
  <c r="O121" i="2"/>
  <c r="R120" i="2"/>
  <c r="Q120" i="2"/>
  <c r="P120" i="2"/>
  <c r="O120" i="2"/>
  <c r="R119" i="2"/>
  <c r="Q119" i="2"/>
  <c r="P119" i="2"/>
  <c r="O119" i="2"/>
  <c r="R118" i="2"/>
  <c r="Q118" i="2"/>
  <c r="P118" i="2"/>
  <c r="O118" i="2"/>
  <c r="R117" i="2"/>
  <c r="Q117" i="2"/>
  <c r="P117" i="2"/>
  <c r="O117" i="2"/>
  <c r="R116" i="2"/>
  <c r="Q116" i="2"/>
  <c r="P116" i="2"/>
  <c r="O116" i="2"/>
  <c r="R115" i="2"/>
  <c r="Q115" i="2"/>
  <c r="P115" i="2"/>
  <c r="O115" i="2"/>
  <c r="R114" i="2"/>
  <c r="Q114" i="2"/>
  <c r="P114" i="2"/>
  <c r="O114" i="2"/>
  <c r="R113" i="2"/>
  <c r="Q113" i="2"/>
  <c r="P113" i="2"/>
  <c r="O113" i="2"/>
  <c r="R112" i="2"/>
  <c r="Q112" i="2"/>
  <c r="P112" i="2"/>
  <c r="O112" i="2"/>
  <c r="R111" i="2"/>
  <c r="Q111" i="2"/>
  <c r="P111" i="2"/>
  <c r="O111" i="2"/>
  <c r="R110" i="2"/>
  <c r="Q110" i="2"/>
  <c r="P110" i="2"/>
  <c r="O110" i="2"/>
  <c r="R109" i="2"/>
  <c r="Q109" i="2"/>
  <c r="P109" i="2"/>
  <c r="O109" i="2"/>
  <c r="R108" i="2"/>
  <c r="Q108" i="2"/>
  <c r="P108" i="2"/>
  <c r="O108" i="2"/>
  <c r="R107" i="2"/>
  <c r="Q107" i="2"/>
  <c r="P107" i="2"/>
  <c r="O107" i="2"/>
  <c r="R106" i="2"/>
  <c r="Q106" i="2"/>
  <c r="P106" i="2"/>
  <c r="O106" i="2"/>
  <c r="R105" i="2"/>
  <c r="Q105" i="2"/>
  <c r="P105" i="2"/>
  <c r="O105" i="2"/>
  <c r="R104" i="2"/>
  <c r="Q104" i="2"/>
  <c r="P104" i="2"/>
  <c r="O104" i="2"/>
  <c r="R103" i="2"/>
  <c r="Q103" i="2"/>
  <c r="P103" i="2"/>
  <c r="O103" i="2"/>
  <c r="R102" i="2"/>
  <c r="Q102" i="2"/>
  <c r="P102" i="2"/>
  <c r="O102" i="2"/>
  <c r="R101" i="2"/>
  <c r="Q101" i="2"/>
  <c r="P101" i="2"/>
  <c r="O101" i="2"/>
  <c r="R100" i="2"/>
  <c r="Q100" i="2"/>
  <c r="P100" i="2"/>
  <c r="O100" i="2"/>
  <c r="R99" i="2"/>
  <c r="Q99" i="2"/>
  <c r="P99" i="2"/>
  <c r="O99" i="2"/>
  <c r="R98" i="2"/>
  <c r="Q98" i="2"/>
  <c r="P98" i="2"/>
  <c r="O98" i="2"/>
  <c r="R97" i="2"/>
  <c r="Q97" i="2"/>
  <c r="P97" i="2"/>
  <c r="O97" i="2"/>
  <c r="R96" i="2"/>
  <c r="Q96" i="2"/>
  <c r="P96" i="2"/>
  <c r="O96" i="2"/>
  <c r="R95" i="2"/>
  <c r="Q95" i="2"/>
  <c r="P95" i="2"/>
  <c r="O95" i="2"/>
  <c r="R94" i="2"/>
  <c r="Q94" i="2"/>
  <c r="P94" i="2"/>
  <c r="O94" i="2"/>
  <c r="R93" i="2"/>
  <c r="Q93" i="2"/>
  <c r="P93" i="2"/>
  <c r="O93" i="2"/>
  <c r="R92" i="2"/>
  <c r="Q92" i="2"/>
  <c r="P92" i="2"/>
  <c r="O92" i="2"/>
  <c r="R91" i="2"/>
  <c r="Q91" i="2"/>
  <c r="P91" i="2"/>
  <c r="O91" i="2"/>
  <c r="R90" i="2"/>
  <c r="Q90" i="2"/>
  <c r="P90" i="2"/>
  <c r="O90" i="2"/>
  <c r="R89" i="2"/>
  <c r="Q89" i="2"/>
  <c r="P89" i="2"/>
  <c r="O89" i="2"/>
  <c r="R88" i="2"/>
  <c r="Q88" i="2"/>
  <c r="P88" i="2"/>
  <c r="O88" i="2"/>
  <c r="R87" i="2"/>
  <c r="Q87" i="2"/>
  <c r="P87" i="2"/>
  <c r="O87" i="2"/>
  <c r="R86" i="2"/>
  <c r="P86" i="2"/>
  <c r="Q86" i="2" s="1"/>
  <c r="O86" i="2"/>
  <c r="R85" i="2"/>
  <c r="P85" i="2"/>
  <c r="Q85" i="2" s="1"/>
  <c r="O85" i="2"/>
  <c r="R84" i="2"/>
  <c r="P84" i="2"/>
  <c r="Q84" i="2" s="1"/>
  <c r="O84" i="2"/>
  <c r="R83" i="2"/>
  <c r="P83" i="2"/>
  <c r="Q83" i="2" s="1"/>
  <c r="O83" i="2"/>
  <c r="R82" i="2"/>
  <c r="P82" i="2"/>
  <c r="Q82" i="2" s="1"/>
  <c r="O82" i="2"/>
  <c r="R81" i="2"/>
  <c r="P81" i="2"/>
  <c r="Q81" i="2" s="1"/>
  <c r="O81" i="2"/>
  <c r="R80" i="2"/>
  <c r="P80" i="2"/>
  <c r="Q80" i="2" s="1"/>
  <c r="O80" i="2"/>
  <c r="R79" i="2"/>
  <c r="P79" i="2"/>
  <c r="Q79" i="2" s="1"/>
  <c r="O79" i="2"/>
  <c r="R78" i="2"/>
  <c r="P78" i="2"/>
  <c r="Q78" i="2" s="1"/>
  <c r="O78" i="2"/>
  <c r="R77" i="2"/>
  <c r="P77" i="2"/>
  <c r="Q77" i="2" s="1"/>
  <c r="O77" i="2"/>
  <c r="R76" i="2"/>
  <c r="P76" i="2"/>
  <c r="Q76" i="2" s="1"/>
  <c r="O76" i="2"/>
  <c r="R75" i="2"/>
  <c r="P75" i="2"/>
  <c r="Q75" i="2" s="1"/>
  <c r="O75" i="2"/>
  <c r="R74" i="2"/>
  <c r="P74" i="2"/>
  <c r="Q74" i="2" s="1"/>
  <c r="O74" i="2"/>
  <c r="R73" i="2"/>
  <c r="P73" i="2"/>
  <c r="Q73" i="2" s="1"/>
  <c r="O73" i="2"/>
  <c r="R72" i="2"/>
  <c r="P72" i="2"/>
  <c r="Q72" i="2" s="1"/>
  <c r="O72" i="2"/>
  <c r="R71" i="2"/>
  <c r="P71" i="2"/>
  <c r="Q71" i="2" s="1"/>
  <c r="O71" i="2"/>
  <c r="R70" i="2"/>
  <c r="P70" i="2"/>
  <c r="Q70" i="2" s="1"/>
  <c r="O70" i="2"/>
  <c r="R69" i="2"/>
  <c r="P69" i="2"/>
  <c r="Q69" i="2" s="1"/>
  <c r="O69" i="2"/>
  <c r="R68" i="2"/>
  <c r="P68" i="2"/>
  <c r="Q68" i="2" s="1"/>
  <c r="O68" i="2"/>
  <c r="R67" i="2"/>
  <c r="P67" i="2"/>
  <c r="Q67" i="2" s="1"/>
  <c r="O67" i="2"/>
  <c r="R66" i="2"/>
  <c r="P66" i="2"/>
  <c r="Q66" i="2" s="1"/>
  <c r="O66" i="2"/>
  <c r="R65" i="2"/>
  <c r="P65" i="2"/>
  <c r="Q65" i="2" s="1"/>
  <c r="O65" i="2"/>
  <c r="R64" i="2"/>
  <c r="P64" i="2"/>
  <c r="Q64" i="2" s="1"/>
  <c r="O64" i="2"/>
  <c r="R63" i="2"/>
  <c r="P63" i="2"/>
  <c r="Q63" i="2" s="1"/>
  <c r="O63" i="2"/>
  <c r="R62" i="2"/>
  <c r="P62" i="2"/>
  <c r="Q62" i="2" s="1"/>
  <c r="O62" i="2"/>
  <c r="R61" i="2"/>
  <c r="P61" i="2"/>
  <c r="Q61" i="2" s="1"/>
  <c r="O61" i="2"/>
  <c r="R60" i="2"/>
  <c r="P60" i="2"/>
  <c r="Q60" i="2" s="1"/>
  <c r="O60" i="2"/>
  <c r="R59" i="2"/>
  <c r="P59" i="2"/>
  <c r="Q59" i="2" s="1"/>
  <c r="O59" i="2"/>
  <c r="R58" i="2"/>
  <c r="P58" i="2"/>
  <c r="Q58" i="2" s="1"/>
  <c r="O58" i="2"/>
  <c r="R57" i="2"/>
  <c r="P57" i="2"/>
  <c r="Q57" i="2" s="1"/>
  <c r="O57" i="2"/>
  <c r="R56" i="2"/>
  <c r="P56" i="2"/>
  <c r="Q56" i="2" s="1"/>
  <c r="O56" i="2"/>
  <c r="R55" i="2"/>
  <c r="P55" i="2"/>
  <c r="Q55" i="2" s="1"/>
  <c r="O55" i="2"/>
  <c r="R54" i="2"/>
  <c r="P54" i="2"/>
  <c r="Q54" i="2" s="1"/>
  <c r="O54" i="2"/>
  <c r="R53" i="2"/>
  <c r="P53" i="2"/>
  <c r="Q53" i="2" s="1"/>
  <c r="O53" i="2"/>
  <c r="R52" i="2"/>
  <c r="P52" i="2"/>
  <c r="Q52" i="2" s="1"/>
  <c r="O52" i="2"/>
  <c r="R51" i="2"/>
  <c r="P51" i="2"/>
  <c r="Q51" i="2" s="1"/>
  <c r="O51" i="2"/>
  <c r="R50" i="2"/>
  <c r="P50" i="2"/>
  <c r="Q50" i="2" s="1"/>
  <c r="O50" i="2"/>
  <c r="R49" i="2"/>
  <c r="P49" i="2"/>
  <c r="Q49" i="2" s="1"/>
  <c r="O49" i="2"/>
  <c r="R48" i="2"/>
  <c r="P48" i="2"/>
  <c r="Q48" i="2" s="1"/>
  <c r="O48" i="2"/>
  <c r="R47" i="2"/>
  <c r="P47" i="2"/>
  <c r="Q47" i="2" s="1"/>
  <c r="O47" i="2"/>
  <c r="R46" i="2"/>
  <c r="P46" i="2"/>
  <c r="Q46" i="2" s="1"/>
  <c r="O46" i="2"/>
  <c r="R45" i="2"/>
  <c r="P45" i="2"/>
  <c r="Q45" i="2" s="1"/>
  <c r="O45" i="2"/>
  <c r="R44" i="2"/>
  <c r="P44" i="2"/>
  <c r="Q44" i="2" s="1"/>
  <c r="O44" i="2"/>
  <c r="R43" i="2"/>
  <c r="P43" i="2"/>
  <c r="Q43" i="2" s="1"/>
  <c r="O43" i="2"/>
  <c r="R42" i="2"/>
  <c r="P42" i="2"/>
  <c r="Q42" i="2" s="1"/>
  <c r="O42" i="2"/>
  <c r="R41" i="2"/>
  <c r="P41" i="2"/>
  <c r="Q41" i="2" s="1"/>
  <c r="O41" i="2"/>
  <c r="R40" i="2"/>
  <c r="P40" i="2"/>
  <c r="Q40" i="2" s="1"/>
  <c r="O40" i="2"/>
  <c r="R39" i="2"/>
  <c r="P39" i="2"/>
  <c r="Q39" i="2" s="1"/>
  <c r="O39" i="2"/>
  <c r="R38" i="2"/>
  <c r="P38" i="2"/>
  <c r="Q38" i="2" s="1"/>
  <c r="O38" i="2"/>
  <c r="R37" i="2"/>
  <c r="P37" i="2"/>
  <c r="Q37" i="2" s="1"/>
  <c r="O37" i="2"/>
  <c r="R36" i="2"/>
  <c r="P36" i="2"/>
  <c r="Q36" i="2" s="1"/>
  <c r="O36" i="2"/>
  <c r="R35" i="2"/>
  <c r="P35" i="2"/>
  <c r="Q35" i="2" s="1"/>
  <c r="O35" i="2"/>
  <c r="R34" i="2"/>
  <c r="P34" i="2"/>
  <c r="Q34" i="2" s="1"/>
  <c r="O34" i="2"/>
  <c r="R33" i="2"/>
  <c r="P33" i="2"/>
  <c r="Q33" i="2" s="1"/>
  <c r="O33" i="2"/>
  <c r="R32" i="2"/>
  <c r="P32" i="2"/>
  <c r="Q32" i="2" s="1"/>
  <c r="O32" i="2"/>
  <c r="R31" i="2"/>
  <c r="P31" i="2"/>
  <c r="Q31" i="2" s="1"/>
  <c r="O31" i="2"/>
  <c r="R30" i="2"/>
  <c r="P30" i="2"/>
  <c r="Q30" i="2" s="1"/>
  <c r="O30" i="2"/>
  <c r="R29" i="2"/>
  <c r="P29" i="2"/>
  <c r="Q29" i="2" s="1"/>
  <c r="O29" i="2"/>
  <c r="R28" i="2"/>
  <c r="P28" i="2"/>
  <c r="Q28" i="2" s="1"/>
  <c r="O28" i="2"/>
  <c r="R27" i="2"/>
  <c r="P27" i="2"/>
  <c r="Q27" i="2" s="1"/>
  <c r="O27" i="2"/>
  <c r="R26" i="2"/>
  <c r="P26" i="2"/>
  <c r="Q26" i="2" s="1"/>
  <c r="O26" i="2"/>
  <c r="R25" i="2"/>
  <c r="P25" i="2"/>
  <c r="Q25" i="2" s="1"/>
  <c r="O25" i="2"/>
  <c r="R24" i="2"/>
  <c r="P24" i="2"/>
  <c r="Q24" i="2" s="1"/>
  <c r="O24" i="2"/>
  <c r="R23" i="2"/>
  <c r="P23" i="2"/>
  <c r="Q23" i="2" s="1"/>
  <c r="O23" i="2"/>
  <c r="R22" i="2"/>
  <c r="P22" i="2"/>
  <c r="Q22" i="2" s="1"/>
  <c r="O22" i="2"/>
  <c r="R21" i="2"/>
  <c r="P21" i="2"/>
  <c r="Q21" i="2" s="1"/>
  <c r="O21" i="2"/>
  <c r="R20" i="2"/>
  <c r="P20" i="2"/>
  <c r="Q20" i="2" s="1"/>
  <c r="O20" i="2"/>
  <c r="R19" i="2"/>
  <c r="P19" i="2"/>
  <c r="Q19" i="2" s="1"/>
  <c r="O19" i="2"/>
  <c r="R18" i="2"/>
  <c r="P18" i="2"/>
  <c r="Q18" i="2" s="1"/>
  <c r="O18" i="2"/>
  <c r="R17" i="2"/>
  <c r="P17" i="2"/>
  <c r="Q17" i="2" s="1"/>
  <c r="O17" i="2"/>
  <c r="R16" i="2"/>
  <c r="P16" i="2"/>
  <c r="Q16" i="2" s="1"/>
  <c r="O16" i="2"/>
  <c r="R15" i="2"/>
  <c r="P15" i="2"/>
  <c r="Q15" i="2" s="1"/>
  <c r="O15" i="2"/>
  <c r="R14" i="2"/>
  <c r="P14" i="2"/>
  <c r="Q14" i="2" s="1"/>
  <c r="O14" i="2"/>
  <c r="R13" i="2"/>
  <c r="P13" i="2"/>
  <c r="Q13" i="2" s="1"/>
  <c r="O13" i="2"/>
  <c r="R12" i="2"/>
  <c r="P12" i="2"/>
  <c r="Q12" i="2" s="1"/>
  <c r="O12" i="2"/>
  <c r="R11" i="2"/>
  <c r="P11" i="2"/>
  <c r="Q11" i="2" s="1"/>
  <c r="O11" i="2"/>
  <c r="R10" i="2"/>
  <c r="P10" i="2"/>
  <c r="Q10" i="2" s="1"/>
  <c r="O10" i="2"/>
  <c r="R9" i="2"/>
  <c r="P9" i="2"/>
  <c r="Q9" i="2" s="1"/>
  <c r="O9" i="2"/>
  <c r="R8" i="2"/>
  <c r="P8" i="2"/>
  <c r="Q8" i="2" s="1"/>
  <c r="O8" i="2"/>
  <c r="R7" i="2"/>
  <c r="P7" i="2"/>
  <c r="Q7" i="2" s="1"/>
  <c r="O7" i="2"/>
  <c r="R6" i="2"/>
  <c r="P6" i="2"/>
  <c r="Q6" i="2" s="1"/>
  <c r="O6" i="2"/>
  <c r="R5" i="2"/>
  <c r="P5" i="2"/>
  <c r="Q5" i="2" s="1"/>
  <c r="O5" i="2"/>
  <c r="R4" i="2"/>
  <c r="P4" i="2"/>
  <c r="Q4" i="2" s="1"/>
  <c r="O4" i="2"/>
  <c r="R3" i="2"/>
  <c r="P3" i="2"/>
  <c r="Q3" i="2" s="1"/>
  <c r="O3" i="2"/>
  <c r="R2" i="2"/>
  <c r="P2" i="2"/>
  <c r="B59" i="3" s="1"/>
  <c r="O2" i="2"/>
  <c r="B64" i="3" s="1"/>
  <c r="B21" i="1"/>
  <c r="B6" i="3" l="1"/>
  <c r="B22" i="3"/>
  <c r="D38" i="3"/>
  <c r="D44" i="3"/>
  <c r="C47" i="3"/>
  <c r="H56" i="3"/>
  <c r="C59" i="3"/>
  <c r="C22" i="3"/>
  <c r="E38" i="3"/>
  <c r="B45" i="3"/>
  <c r="D47" i="3"/>
  <c r="H55" i="3"/>
  <c r="D59" i="3"/>
  <c r="Q2" i="2"/>
  <c r="B7" i="3"/>
  <c r="C7" i="3" s="1"/>
  <c r="F38" i="3"/>
  <c r="C45" i="3"/>
  <c r="B48" i="3"/>
  <c r="H54" i="3"/>
  <c r="E59" i="3"/>
  <c r="B23" i="3"/>
  <c r="B43" i="3"/>
  <c r="D45" i="3"/>
  <c r="C48" i="3"/>
  <c r="H53" i="3"/>
  <c r="F59" i="3"/>
  <c r="B8" i="3"/>
  <c r="C8" i="3" s="1"/>
  <c r="C23" i="3"/>
  <c r="C43" i="3"/>
  <c r="B46" i="3"/>
  <c r="D48" i="3"/>
  <c r="G59" i="3"/>
  <c r="B21" i="3"/>
  <c r="D43" i="3"/>
  <c r="C46" i="3"/>
  <c r="H59" i="3"/>
  <c r="C21" i="3"/>
  <c r="B38" i="3"/>
  <c r="B44" i="3"/>
  <c r="D46" i="3"/>
  <c r="H58" i="3"/>
  <c r="B63" i="3"/>
  <c r="C38" i="3"/>
  <c r="C44" i="3"/>
  <c r="B47" i="3"/>
  <c r="H57" i="3"/>
  <c r="B14" i="3" l="1"/>
  <c r="C14" i="3" s="1"/>
  <c r="B16" i="3"/>
  <c r="C16" i="3" s="1"/>
  <c r="B15" i="3"/>
  <c r="C15" i="3" s="1"/>
  <c r="C24" i="3"/>
  <c r="D23" i="3"/>
  <c r="D22" i="3"/>
  <c r="D21" i="3"/>
  <c r="D24" i="3" s="1"/>
  <c r="B24" i="3"/>
  <c r="B9" i="3"/>
  <c r="C6" i="3"/>
</calcChain>
</file>

<file path=xl/sharedStrings.xml><?xml version="1.0" encoding="utf-8"?>
<sst xmlns="http://schemas.openxmlformats.org/spreadsheetml/2006/main" count="741" uniqueCount="320">
  <si>
    <t>Risk Thresholds &amp; Model Assumptions (LFP Battery Fleet)</t>
  </si>
  <si>
    <t>Blue cells are editable inputs. Data sheet formulas reference these cells directly.</t>
  </si>
  <si>
    <t>Parameter</t>
  </si>
  <si>
    <t>Value</t>
  </si>
  <si>
    <t>Used For</t>
  </si>
  <si>
    <t>Notes</t>
  </si>
  <si>
    <t>SOH_safe_min</t>
  </si>
  <si>
    <t>Safe tier lower bound (SOH %)</t>
  </si>
  <si>
    <t>Industry-standard first-life EOL threshold</t>
  </si>
  <si>
    <t>SOH_isolate_max</t>
  </si>
  <si>
    <t>Isolate trigger (SOH % below this)</t>
  </si>
  <si>
    <t>Common second-life retirement floor</t>
  </si>
  <si>
    <t>IR_isolate_min</t>
  </si>
  <si>
    <t>Isolate trigger (IR mOhm at/above this)</t>
  </si>
  <si>
    <t>~95th percentile of fleet; ~2x fresh-pack baseline</t>
  </si>
  <si>
    <t>Imbalance_safe_max</t>
  </si>
  <si>
    <t>Safe tier upper bound (mV)</t>
  </si>
  <si>
    <t>Typical BMS warning threshold</t>
  </si>
  <si>
    <t>Imbalance_isolate_min</t>
  </si>
  <si>
    <t>Isolate trigger (mV at/above this)</t>
  </si>
  <si>
    <t>LFP flat OCV curve makes imbalance more meaningful; consider raising to 100 for stricter LFP practice</t>
  </si>
  <si>
    <t>Temp_isolate_min</t>
  </si>
  <si>
    <t>Isolate trigger (instant temp, C, above this)</t>
  </si>
  <si>
    <t>Relaxed from original 38C -- within normal LFP charge range (up to ~45-55C); LFP thermal runaway onset is far higher than NMC</t>
  </si>
  <si>
    <t>MaxTemp24h_isolate_min</t>
  </si>
  <si>
    <t>Isolate trigger (24h max temp, C, above this)</t>
  </si>
  <si>
    <t>Flags a sustained heat event in the last 24h</t>
  </si>
  <si>
    <t>RiskScore_safe_max</t>
  </si>
  <si>
    <t>Composite score upper bound for Low Risk</t>
  </si>
  <si>
    <t>Tunable -- calibrate against real failure/warranty data if available</t>
  </si>
  <si>
    <t>RiskScore_degrade_max</t>
  </si>
  <si>
    <t>Composite score upper bound for Moderate Risk</t>
  </si>
  <si>
    <t>Above this = High Risk tier</t>
  </si>
  <si>
    <t>W_SOH</t>
  </si>
  <si>
    <t>Composite score weight - SOH deviation</t>
  </si>
  <si>
    <t>Weights sum to 100; allocated by correlation strength with SOH in this fleet</t>
  </si>
  <si>
    <t>W_IR</t>
  </si>
  <si>
    <t>Composite score weight - internal resistance</t>
  </si>
  <si>
    <t>r=-0.91 with SOH in this fleet</t>
  </si>
  <si>
    <t>W_IMB</t>
  </si>
  <si>
    <t>Composite score weight - voltage imbalance</t>
  </si>
  <si>
    <t>r=-0.83 with SOH in this fleet</t>
  </si>
  <si>
    <t>W_CYC</t>
  </si>
  <si>
    <t>Composite score weight - cycle count</t>
  </si>
  <si>
    <t>Leading indicator; r=-0.89 with SOH, r=0.87 with IR</t>
  </si>
  <si>
    <t>W_AGE</t>
  </si>
  <si>
    <t>Composite score weight - age (years)</t>
  </si>
  <si>
    <t>Calendar aging, weaker effect (r=-0.39 with SOH)</t>
  </si>
  <si>
    <t>W_TEMP</t>
  </si>
  <si>
    <t>Composite score weight - thermal stress above 25C baseline</t>
  </si>
  <si>
    <t>Minor weight; LFP is thermally tolerant</t>
  </si>
  <si>
    <t>Weight sum check (should = 100)</t>
  </si>
  <si>
    <t>battery_id</t>
  </si>
  <si>
    <t>chemistry</t>
  </si>
  <si>
    <t>nominal_voltage_V</t>
  </si>
  <si>
    <t>rated_capacity_Ah</t>
  </si>
  <si>
    <t>state_of_charge_percent</t>
  </si>
  <si>
    <t>state_of_health_percent</t>
  </si>
  <si>
    <t>temperature_C</t>
  </si>
  <si>
    <t>internal_resistance_mOhm</t>
  </si>
  <si>
    <t>cycle_count</t>
  </si>
  <si>
    <t>age_years</t>
  </si>
  <si>
    <t>cell_voltage_imbalance_mV</t>
  </si>
  <si>
    <t>max_temperature_last_24h_C</t>
  </si>
  <si>
    <t>estimated_available_energy_kWh</t>
  </si>
  <si>
    <t>station_status</t>
  </si>
  <si>
    <t>hard_cutoff_status</t>
  </si>
  <si>
    <t>composite_risk_score</t>
  </si>
  <si>
    <t>risk_tier</t>
  </si>
  <si>
    <t>isolate_trigger_reason</t>
  </si>
  <si>
    <t>BAT-001</t>
  </si>
  <si>
    <t>LFP</t>
  </si>
  <si>
    <t>AVAILABLE</t>
  </si>
  <si>
    <t>BAT-002</t>
  </si>
  <si>
    <t>BAT-003</t>
  </si>
  <si>
    <t>BAT-004</t>
  </si>
  <si>
    <t>BAT-005</t>
  </si>
  <si>
    <t>BAT-006</t>
  </si>
  <si>
    <t>BAT-007</t>
  </si>
  <si>
    <t>BAT-008</t>
  </si>
  <si>
    <t>REVIEW/QUARANTINE</t>
  </si>
  <si>
    <t>BAT-009</t>
  </si>
  <si>
    <t>BAT-010</t>
  </si>
  <si>
    <t>BAT-011</t>
  </si>
  <si>
    <t>BAT-012</t>
  </si>
  <si>
    <t>BAT-013</t>
  </si>
  <si>
    <t>BAT-014</t>
  </si>
  <si>
    <t>BAT-015</t>
  </si>
  <si>
    <t>BAT-016</t>
  </si>
  <si>
    <t>BAT-017</t>
  </si>
  <si>
    <t>BAT-018</t>
  </si>
  <si>
    <t>BAT-019</t>
  </si>
  <si>
    <t>BAT-020</t>
  </si>
  <si>
    <t>BAT-021</t>
  </si>
  <si>
    <t>BAT-022</t>
  </si>
  <si>
    <t>BAT-023</t>
  </si>
  <si>
    <t>BAT-024</t>
  </si>
  <si>
    <t>BAT-025</t>
  </si>
  <si>
    <t>BAT-026</t>
  </si>
  <si>
    <t>BAT-027</t>
  </si>
  <si>
    <t>BAT-028</t>
  </si>
  <si>
    <t>BAT-029</t>
  </si>
  <si>
    <t>BAT-030</t>
  </si>
  <si>
    <t>BAT-031</t>
  </si>
  <si>
    <t>BAT-032</t>
  </si>
  <si>
    <t>BAT-033</t>
  </si>
  <si>
    <t>BAT-034</t>
  </si>
  <si>
    <t>BAT-035</t>
  </si>
  <si>
    <t>BAT-036</t>
  </si>
  <si>
    <t>BAT-037</t>
  </si>
  <si>
    <t>BAT-038</t>
  </si>
  <si>
    <t>BAT-039</t>
  </si>
  <si>
    <t>BAT-040</t>
  </si>
  <si>
    <t>BAT-041</t>
  </si>
  <si>
    <t>BAT-042</t>
  </si>
  <si>
    <t>BAT-043</t>
  </si>
  <si>
    <t>BAT-044</t>
  </si>
  <si>
    <t>BAT-045</t>
  </si>
  <si>
    <t>BAT-046</t>
  </si>
  <si>
    <t>BAT-047</t>
  </si>
  <si>
    <t>BAT-048</t>
  </si>
  <si>
    <t>BAT-049</t>
  </si>
  <si>
    <t>BAT-050</t>
  </si>
  <si>
    <t>BAT-051</t>
  </si>
  <si>
    <t>BAT-052</t>
  </si>
  <si>
    <t>BAT-053</t>
  </si>
  <si>
    <t>BAT-054</t>
  </si>
  <si>
    <t>BAT-055</t>
  </si>
  <si>
    <t>BAT-056</t>
  </si>
  <si>
    <t>BAT-057</t>
  </si>
  <si>
    <t>BAT-058</t>
  </si>
  <si>
    <t>BAT-059</t>
  </si>
  <si>
    <t>BAT-060</t>
  </si>
  <si>
    <t>BAT-061</t>
  </si>
  <si>
    <t>BAT-062</t>
  </si>
  <si>
    <t>BAT-063</t>
  </si>
  <si>
    <t>BAT-064</t>
  </si>
  <si>
    <t>BAT-065</t>
  </si>
  <si>
    <t>BAT-066</t>
  </si>
  <si>
    <t>BAT-067</t>
  </si>
  <si>
    <t>BAT-068</t>
  </si>
  <si>
    <t>BAT-069</t>
  </si>
  <si>
    <t>BAT-070</t>
  </si>
  <si>
    <t>BAT-071</t>
  </si>
  <si>
    <t>BAT-072</t>
  </si>
  <si>
    <t>BAT-073</t>
  </si>
  <si>
    <t>BAT-074</t>
  </si>
  <si>
    <t>BAT-075</t>
  </si>
  <si>
    <t>BAT-076</t>
  </si>
  <si>
    <t>BAT-077</t>
  </si>
  <si>
    <t>BAT-078</t>
  </si>
  <si>
    <t>BAT-079</t>
  </si>
  <si>
    <t>BAT-080</t>
  </si>
  <si>
    <t>BAT-081</t>
  </si>
  <si>
    <t>BAT-082</t>
  </si>
  <si>
    <t>BAT-083</t>
  </si>
  <si>
    <t>BAT-084</t>
  </si>
  <si>
    <t>BAT-085</t>
  </si>
  <si>
    <t>BAT-086</t>
  </si>
  <si>
    <t>BAT-087</t>
  </si>
  <si>
    <t>BAT-088</t>
  </si>
  <si>
    <t>BAT-089</t>
  </si>
  <si>
    <t>BAT-090</t>
  </si>
  <si>
    <t>BAT-091</t>
  </si>
  <si>
    <t>BAT-092</t>
  </si>
  <si>
    <t>BAT-093</t>
  </si>
  <si>
    <t>BAT-094</t>
  </si>
  <si>
    <t>BAT-095</t>
  </si>
  <si>
    <t>BAT-096</t>
  </si>
  <si>
    <t>BAT-097</t>
  </si>
  <si>
    <t>BAT-098</t>
  </si>
  <si>
    <t>BAT-099</t>
  </si>
  <si>
    <t>BAT-100</t>
  </si>
  <si>
    <t>BAT-101</t>
  </si>
  <si>
    <t>BAT-102</t>
  </si>
  <si>
    <t>BAT-103</t>
  </si>
  <si>
    <t>BAT-104</t>
  </si>
  <si>
    <t>BAT-105</t>
  </si>
  <si>
    <t>BAT-106</t>
  </si>
  <si>
    <t>BAT-107</t>
  </si>
  <si>
    <t>BAT-108</t>
  </si>
  <si>
    <t>BAT-109</t>
  </si>
  <si>
    <t>BAT-110</t>
  </si>
  <si>
    <t>BAT-111</t>
  </si>
  <si>
    <t>BAT-112</t>
  </si>
  <si>
    <t>BAT-113</t>
  </si>
  <si>
    <t>BAT-114</t>
  </si>
  <si>
    <t>BAT-115</t>
  </si>
  <si>
    <t>BAT-116</t>
  </si>
  <si>
    <t>BAT-117</t>
  </si>
  <si>
    <t>BAT-118</t>
  </si>
  <si>
    <t>BAT-119</t>
  </si>
  <si>
    <t>BAT-120</t>
  </si>
  <si>
    <t>BAT-121</t>
  </si>
  <si>
    <t>BAT-122</t>
  </si>
  <si>
    <t>BAT-123</t>
  </si>
  <si>
    <t>BAT-124</t>
  </si>
  <si>
    <t>BAT-125</t>
  </si>
  <si>
    <t>BAT-126</t>
  </si>
  <si>
    <t>BAT-127</t>
  </si>
  <si>
    <t>BAT-128</t>
  </si>
  <si>
    <t>BAT-129</t>
  </si>
  <si>
    <t>BAT-130</t>
  </si>
  <si>
    <t>BAT-131</t>
  </si>
  <si>
    <t>BAT-132</t>
  </si>
  <si>
    <t>BAT-133</t>
  </si>
  <si>
    <t>BAT-134</t>
  </si>
  <si>
    <t>BAT-135</t>
  </si>
  <si>
    <t>BAT-136</t>
  </si>
  <si>
    <t>BAT-137</t>
  </si>
  <si>
    <t>BAT-138</t>
  </si>
  <si>
    <t>BAT-139</t>
  </si>
  <si>
    <t>BAT-140</t>
  </si>
  <si>
    <t>BAT-141</t>
  </si>
  <si>
    <t>BAT-142</t>
  </si>
  <si>
    <t>BAT-143</t>
  </si>
  <si>
    <t>BAT-144</t>
  </si>
  <si>
    <t>BAT-145</t>
  </si>
  <si>
    <t>BAT-146</t>
  </si>
  <si>
    <t>BAT-147</t>
  </si>
  <si>
    <t>BAT-148</t>
  </si>
  <si>
    <t>BAT-149</t>
  </si>
  <si>
    <t>BAT-150</t>
  </si>
  <si>
    <t>BAT-151</t>
  </si>
  <si>
    <t>BAT-152</t>
  </si>
  <si>
    <t>BAT-153</t>
  </si>
  <si>
    <t>BAT-154</t>
  </si>
  <si>
    <t>BAT-155</t>
  </si>
  <si>
    <t>BAT-156</t>
  </si>
  <si>
    <t>BAT-157</t>
  </si>
  <si>
    <t>BAT-158</t>
  </si>
  <si>
    <t>BAT-159</t>
  </si>
  <si>
    <t>BAT-160</t>
  </si>
  <si>
    <t>BAT-161</t>
  </si>
  <si>
    <t>BAT-162</t>
  </si>
  <si>
    <t>BAT-163</t>
  </si>
  <si>
    <t>BAT-164</t>
  </si>
  <si>
    <t>BAT-165</t>
  </si>
  <si>
    <t>BAT-166</t>
  </si>
  <si>
    <t>BAT-167</t>
  </si>
  <si>
    <t>BAT-168</t>
  </si>
  <si>
    <t>BAT-169</t>
  </si>
  <si>
    <t>BAT-170</t>
  </si>
  <si>
    <t>BAT-171</t>
  </si>
  <si>
    <t>BAT-172</t>
  </si>
  <si>
    <t>BAT-173</t>
  </si>
  <si>
    <t>BAT-174</t>
  </si>
  <si>
    <t>BAT-175</t>
  </si>
  <si>
    <t>BAT-176</t>
  </si>
  <si>
    <t>BAT-177</t>
  </si>
  <si>
    <t>BAT-178</t>
  </si>
  <si>
    <t>BAT-179</t>
  </si>
  <si>
    <t>BAT-180</t>
  </si>
  <si>
    <t>BAT-181</t>
  </si>
  <si>
    <t>BAT-182</t>
  </si>
  <si>
    <t>BAT-183</t>
  </si>
  <si>
    <t>BAT-184</t>
  </si>
  <si>
    <t>BAT-185</t>
  </si>
  <si>
    <t>BAT-186</t>
  </si>
  <si>
    <t>BAT-187</t>
  </si>
  <si>
    <t>BAT-188</t>
  </si>
  <si>
    <t>BAT-189</t>
  </si>
  <si>
    <t>BAT-190</t>
  </si>
  <si>
    <t>BAT-191</t>
  </si>
  <si>
    <t>BAT-192</t>
  </si>
  <si>
    <t>BAT-193</t>
  </si>
  <si>
    <t>BAT-194</t>
  </si>
  <si>
    <t>BAT-195</t>
  </si>
  <si>
    <t>BAT-196</t>
  </si>
  <si>
    <t>BAT-197</t>
  </si>
  <si>
    <t>BAT-198</t>
  </si>
  <si>
    <t>BAT-199</t>
  </si>
  <si>
    <t>BAT-200</t>
  </si>
  <si>
    <t>Fleet Risk Statistics</t>
  </si>
  <si>
    <t>All values computed live via formulas against the Data sheet.</t>
  </si>
  <si>
    <t>1. Risk Tier Counts (Hard Cutoff Status)</t>
  </si>
  <si>
    <t>Status</t>
  </si>
  <si>
    <t>Count</t>
  </si>
  <si>
    <t>% of Fleet</t>
  </si>
  <si>
    <t>SAFE</t>
  </si>
  <si>
    <t>DEGRADE/USE</t>
  </si>
  <si>
    <t>ISOLATE</t>
  </si>
  <si>
    <t>Total</t>
  </si>
  <si>
    <t>2. Composite Risk Tier Counts</t>
  </si>
  <si>
    <t>Low Risk</t>
  </si>
  <si>
    <t>Moderate Risk</t>
  </si>
  <si>
    <t>High Risk</t>
  </si>
  <si>
    <t>3. Cross-check: Hard Cutoff Status vs Original station_status</t>
  </si>
  <si>
    <t>4. Descriptive Statistics by Key Metric (whole fleet)</t>
  </si>
  <si>
    <t>Metric</t>
  </si>
  <si>
    <t>Mean</t>
  </si>
  <si>
    <t>Median</t>
  </si>
  <si>
    <t>Std Dev</t>
  </si>
  <si>
    <t>Min</t>
  </si>
  <si>
    <t>Max</t>
  </si>
  <si>
    <t>State of Health (%)</t>
  </si>
  <si>
    <t>Internal Resistance (mOhm)</t>
  </si>
  <si>
    <t>Voltage Imbalance (mV)</t>
  </si>
  <si>
    <t>Temperature (C)</t>
  </si>
  <si>
    <t>Max Temp 24h (C)</t>
  </si>
  <si>
    <t>Cycle Count</t>
  </si>
  <si>
    <t>Age (years)</t>
  </si>
  <si>
    <t>State of Charge (%)</t>
  </si>
  <si>
    <t>Available Energy (kWh)</t>
  </si>
  <si>
    <t>Composite Risk Score</t>
  </si>
  <si>
    <t>5. Descriptive Statistics by Hard Cutoff Tier</t>
  </si>
  <si>
    <t>SAFE (mean)</t>
  </si>
  <si>
    <t>DEGRADE/USE (mean)</t>
  </si>
  <si>
    <t>ISOLATE (mean)</t>
  </si>
  <si>
    <t>6. Correlation Matrix (Pearson r) -- key numeric features</t>
  </si>
  <si>
    <t>SOH</t>
  </si>
  <si>
    <t>IR</t>
  </si>
  <si>
    <t>Imbalance</t>
  </si>
  <si>
    <t>Temp</t>
  </si>
  <si>
    <t>Cycle</t>
  </si>
  <si>
    <t>Age</t>
  </si>
  <si>
    <t>Score</t>
  </si>
  <si>
    <t>7. High-Risk Roster (ISOLATE)</t>
  </si>
  <si>
    <t>Packs flagged ISOLATE</t>
  </si>
  <si>
    <t>Packs flagged ISOLATE but originally AVAILABLE (recommend manual review)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</si>
</sst>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9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9"/>
      <name val="Arial"/>
      <charset val="1"/>
    </font>
    <font>
      <i/>
      <sz val="9"/>
      <name val="Arial"/>
      <charset val="1"/>
    </font>
    <font>
      <sz val="11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4" fillId="0" borderId="0" xfId="0" applyFont="1"/>
    <xf numFmtId="0" fontId="8" fillId="0" borderId="0" xfId="0" applyFont="1"/>
    <xf numFmtId="0" fontId="0" fillId="0" borderId="1" xfId="0" applyFont="1" applyBorder="1"/>
    <xf numFmtId="0" fontId="8" fillId="0" borderId="1" xfId="0" applyFont="1" applyBorder="1"/>
    <xf numFmtId="164" fontId="8" fillId="0" borderId="1" xfId="0" applyNumberFormat="1" applyFont="1" applyBorder="1"/>
    <xf numFmtId="165" fontId="8" fillId="0" borderId="0" xfId="0" applyNumberFormat="1" applyFont="1"/>
    <xf numFmtId="2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1"/>
  <sheetViews>
    <sheetView zoomScaleNormal="100" workbookViewId="0">
      <pane ySplit="1" topLeftCell="A2" activePane="bottomLeft" state="frozen"/>
      <selection pane="bottomLeft" activeCell="P4" sqref="P4"/>
    </sheetView>
  </sheetViews>
  <sheetFormatPr defaultColWidth="8.6640625" defaultRowHeight="14.4" x14ac:dyDescent="0.3"/>
  <cols>
    <col min="1" max="1" width="11" customWidth="1"/>
    <col min="2" max="4" width="10" customWidth="1"/>
    <col min="5" max="6" width="12" customWidth="1"/>
    <col min="7" max="7" width="10" customWidth="1"/>
    <col min="8" max="8" width="12" customWidth="1"/>
    <col min="9" max="9" width="10" customWidth="1"/>
    <col min="10" max="10" width="9" customWidth="1"/>
    <col min="11" max="11" width="12" customWidth="1"/>
    <col min="12" max="13" width="13" customWidth="1"/>
    <col min="14" max="14" width="16" customWidth="1"/>
    <col min="15" max="15" width="15" customWidth="1"/>
    <col min="16" max="17" width="13" customWidth="1"/>
    <col min="18" max="18" width="34" customWidth="1"/>
  </cols>
  <sheetData>
    <row r="1" spans="1:18" ht="39.6" x14ac:dyDescent="0.3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  <c r="N1" s="3" t="s">
        <v>65</v>
      </c>
      <c r="O1" s="3" t="s">
        <v>66</v>
      </c>
      <c r="P1" s="3" t="s">
        <v>67</v>
      </c>
      <c r="Q1" s="3" t="s">
        <v>68</v>
      </c>
      <c r="R1" s="3" t="s">
        <v>69</v>
      </c>
    </row>
    <row r="2" spans="1:18" x14ac:dyDescent="0.3">
      <c r="A2" s="10" t="s">
        <v>70</v>
      </c>
      <c r="B2" s="10" t="s">
        <v>71</v>
      </c>
      <c r="C2" s="10">
        <v>48</v>
      </c>
      <c r="D2" s="10">
        <v>40</v>
      </c>
      <c r="E2" s="10">
        <v>73.2</v>
      </c>
      <c r="F2" s="10">
        <v>81.400000000000006</v>
      </c>
      <c r="G2" s="10">
        <v>30.4</v>
      </c>
      <c r="H2" s="10">
        <v>50.3</v>
      </c>
      <c r="I2" s="10">
        <v>1080</v>
      </c>
      <c r="J2" s="10">
        <v>0.78</v>
      </c>
      <c r="K2" s="10">
        <v>56.9</v>
      </c>
      <c r="L2" s="10">
        <v>36.6</v>
      </c>
      <c r="M2" s="10">
        <v>1.1439999999999999</v>
      </c>
      <c r="N2" s="10" t="s">
        <v>72</v>
      </c>
      <c r="O2" s="11" t="str">
        <f>IF(OR(F2&lt;Thresholds!$B$6,H2&gt;=Thresholds!$B$7,K2&gt;=Thresholds!$B$9,L2&gt;Thresholds!$B$11,G2&gt;Thresholds!$B$10),"ISOLATE",IF(AND(F2&gt;=Thresholds!$B$5,K2&lt;=Thresholds!$B$8),"SAFE","DEGRADE/USE"))</f>
        <v>DEGRADE/USE</v>
      </c>
      <c r="P2" s="12">
        <f>Thresholds!$B$14*MIN(100-F2,40)/40+Thresholds!$B$15*MIN(H2,90)/90+Thresholds!$B$16*MIN(K2,100)/100+Thresholds!$B$17*MIN(I2,1600)/1600+Thresholds!$B$18*MIN(J2,5)/5+Thresholds!$B$19*MAX(0,G2-25)/25</f>
        <v>50.237222222222215</v>
      </c>
      <c r="Q2" s="11" t="str">
        <f>IF(P2&gt;Thresholds!$B$13,"High Risk",IF(P2&gt;Thresholds!$B$12,"Moderate Risk","Low Risk"))</f>
        <v>Moderate Risk</v>
      </c>
      <c r="R2" s="11" t="str">
        <f>TRIM(IF(F2&lt;Thresholds!$B$6,"Low SOH; ","")&amp;IF(H2&gt;=Thresholds!$B$7,"High IR; ","")&amp;IF(K2&gt;=Thresholds!$B$9,"High Imbalance; ","")&amp;IF(L2&gt;Thresholds!$B$11,"Sustained Heat 24h; ","")&amp;IF(G2&gt;Thresholds!$B$10,"High Temp; ",""))</f>
        <v/>
      </c>
    </row>
    <row r="3" spans="1:18" x14ac:dyDescent="0.3">
      <c r="A3" s="10" t="s">
        <v>73</v>
      </c>
      <c r="B3" s="10" t="s">
        <v>71</v>
      </c>
      <c r="C3" s="10">
        <v>48</v>
      </c>
      <c r="D3" s="10">
        <v>40</v>
      </c>
      <c r="E3" s="10">
        <v>62</v>
      </c>
      <c r="F3" s="10">
        <v>88.9</v>
      </c>
      <c r="G3" s="10">
        <v>26.8</v>
      </c>
      <c r="H3" s="10">
        <v>52.2</v>
      </c>
      <c r="I3" s="10">
        <v>231</v>
      </c>
      <c r="J3" s="10">
        <v>1.47</v>
      </c>
      <c r="K3" s="10">
        <v>23.1</v>
      </c>
      <c r="L3" s="10">
        <v>28.6</v>
      </c>
      <c r="M3" s="10">
        <v>1.0589999999999999</v>
      </c>
      <c r="N3" s="10" t="s">
        <v>72</v>
      </c>
      <c r="O3" s="11" t="str">
        <f>IF(OR(F3&lt;Thresholds!$B$6,H3&gt;=Thresholds!$B$7,K3&gt;=Thresholds!$B$9,L3&gt;Thresholds!$B$11,G3&gt;Thresholds!$B$10),"ISOLATE",IF(AND(F3&gt;=Thresholds!$B$5,K3&lt;=Thresholds!$B$8),"SAFE","DEGRADE/USE"))</f>
        <v>SAFE</v>
      </c>
      <c r="P3" s="12">
        <f>Thresholds!$B$14*MIN(100-F3,40)/40+Thresholds!$B$15*MIN(H3,90)/90+Thresholds!$B$16*MIN(K3,100)/100+Thresholds!$B$17*MIN(I3,1600)/1600+Thresholds!$B$18*MIN(J3,5)/5+Thresholds!$B$19*MAX(0,G3-25)/25</f>
        <v>32.106249999999996</v>
      </c>
      <c r="Q3" s="11" t="str">
        <f>IF(P3&gt;Thresholds!$B$13,"High Risk",IF(P3&gt;Thresholds!$B$12,"Moderate Risk","Low Risk"))</f>
        <v>Low Risk</v>
      </c>
      <c r="R3" s="11" t="str">
        <f>TRIM(IF(F3&lt;Thresholds!$B$6,"Low SOH; ","")&amp;IF(H3&gt;=Thresholds!$B$7,"High IR; ","")&amp;IF(K3&gt;=Thresholds!$B$9,"High Imbalance; ","")&amp;IF(L3&gt;Thresholds!$B$11,"Sustained Heat 24h; ","")&amp;IF(G3&gt;Thresholds!$B$10,"High Temp; ",""))</f>
        <v/>
      </c>
    </row>
    <row r="4" spans="1:18" x14ac:dyDescent="0.3">
      <c r="A4" s="10" t="s">
        <v>74</v>
      </c>
      <c r="B4" s="10" t="s">
        <v>71</v>
      </c>
      <c r="C4" s="10">
        <v>48</v>
      </c>
      <c r="D4" s="10">
        <v>40</v>
      </c>
      <c r="E4" s="10">
        <v>77.5</v>
      </c>
      <c r="F4" s="10">
        <v>69</v>
      </c>
      <c r="G4" s="10">
        <v>21.4</v>
      </c>
      <c r="H4" s="10">
        <v>68.7</v>
      </c>
      <c r="I4" s="10">
        <v>1317</v>
      </c>
      <c r="J4" s="10">
        <v>3.82</v>
      </c>
      <c r="K4" s="10">
        <v>67.599999999999994</v>
      </c>
      <c r="L4" s="10">
        <v>26.5</v>
      </c>
      <c r="M4" s="10">
        <v>1.0269999999999999</v>
      </c>
      <c r="N4" s="10" t="s">
        <v>72</v>
      </c>
      <c r="O4" s="11" t="str">
        <f>IF(OR(F4&lt;Thresholds!$B$6,H4&gt;=Thresholds!$B$7,K4&gt;=Thresholds!$B$9,L4&gt;Thresholds!$B$11,G4&gt;Thresholds!$B$10),"ISOLATE",IF(AND(F4&gt;=Thresholds!$B$5,K4&lt;=Thresholds!$B$8),"SAFE","DEGRADE/USE"))</f>
        <v>DEGRADE/USE</v>
      </c>
      <c r="P4" s="12">
        <f>Thresholds!$B$14*MIN(100-F4,40)/40+Thresholds!$B$15*MIN(H4,90)/90+Thresholds!$B$16*MIN(K4,100)/100+Thresholds!$B$17*MIN(I4,1600)/1600+Thresholds!$B$18*MIN(J4,5)/5+Thresholds!$B$19*MAX(0,G4-25)/25</f>
        <v>71.779583333333321</v>
      </c>
      <c r="Q4" s="11" t="str">
        <f>IF(P4&gt;Thresholds!$B$13,"High Risk",IF(P4&gt;Thresholds!$B$12,"Moderate Risk","Low Risk"))</f>
        <v>High Risk</v>
      </c>
      <c r="R4" s="11" t="str">
        <f>TRIM(IF(F4&lt;Thresholds!$B$6,"Low SOH; ","")&amp;IF(H4&gt;=Thresholds!$B$7,"High IR; ","")&amp;IF(K4&gt;=Thresholds!$B$9,"High Imbalance; ","")&amp;IF(L4&gt;Thresholds!$B$11,"Sustained Heat 24h; ","")&amp;IF(G4&gt;Thresholds!$B$10,"High Temp; ",""))</f>
        <v/>
      </c>
    </row>
    <row r="5" spans="1:18" x14ac:dyDescent="0.3">
      <c r="A5" s="10" t="s">
        <v>75</v>
      </c>
      <c r="B5" s="10" t="s">
        <v>71</v>
      </c>
      <c r="C5" s="10">
        <v>48</v>
      </c>
      <c r="D5" s="10">
        <v>40</v>
      </c>
      <c r="E5" s="10">
        <v>85.6</v>
      </c>
      <c r="F5" s="10">
        <v>82.8</v>
      </c>
      <c r="G5" s="10">
        <v>35.299999999999997</v>
      </c>
      <c r="H5" s="10">
        <v>64.7</v>
      </c>
      <c r="I5" s="10">
        <v>442</v>
      </c>
      <c r="J5" s="10">
        <v>4.26</v>
      </c>
      <c r="K5" s="10">
        <v>42.5</v>
      </c>
      <c r="L5" s="10">
        <v>42.1</v>
      </c>
      <c r="M5" s="10">
        <v>1.3620000000000001</v>
      </c>
      <c r="N5" s="10" t="s">
        <v>72</v>
      </c>
      <c r="O5" s="11" t="str">
        <f>IF(OR(F5&lt;Thresholds!$B$6,H5&gt;=Thresholds!$B$7,K5&gt;=Thresholds!$B$9,L5&gt;Thresholds!$B$11,G5&gt;Thresholds!$B$10),"ISOLATE",IF(AND(F5&gt;=Thresholds!$B$5,K5&lt;=Thresholds!$B$8),"SAFE","DEGRADE/USE"))</f>
        <v>SAFE</v>
      </c>
      <c r="P5" s="12">
        <f>Thresholds!$B$14*MIN(100-F5,40)/40+Thresholds!$B$15*MIN(H5,90)/90+Thresholds!$B$16*MIN(K5,100)/100+Thresholds!$B$17*MIN(I5,1600)/1600+Thresholds!$B$18*MIN(J5,5)/5+Thresholds!$B$19*MAX(0,G5-25)/25</f>
        <v>50.604722222222229</v>
      </c>
      <c r="Q5" s="11" t="str">
        <f>IF(P5&gt;Thresholds!$B$13,"High Risk",IF(P5&gt;Thresholds!$B$12,"Moderate Risk","Low Risk"))</f>
        <v>Moderate Risk</v>
      </c>
      <c r="R5" s="11" t="str">
        <f>TRIM(IF(F5&lt;Thresholds!$B$6,"Low SOH; ","")&amp;IF(H5&gt;=Thresholds!$B$7,"High IR; ","")&amp;IF(K5&gt;=Thresholds!$B$9,"High Imbalance; ","")&amp;IF(L5&gt;Thresholds!$B$11,"Sustained Heat 24h; ","")&amp;IF(G5&gt;Thresholds!$B$10,"High Temp; ",""))</f>
        <v/>
      </c>
    </row>
    <row r="6" spans="1:18" x14ac:dyDescent="0.3">
      <c r="A6" s="10" t="s">
        <v>76</v>
      </c>
      <c r="B6" s="10" t="s">
        <v>71</v>
      </c>
      <c r="C6" s="10">
        <v>48</v>
      </c>
      <c r="D6" s="10">
        <v>40</v>
      </c>
      <c r="E6" s="10">
        <v>58.8</v>
      </c>
      <c r="F6" s="10">
        <v>80</v>
      </c>
      <c r="G6" s="10">
        <v>23.1</v>
      </c>
      <c r="H6" s="10">
        <v>55</v>
      </c>
      <c r="I6" s="10">
        <v>1078</v>
      </c>
      <c r="J6" s="10">
        <v>0.94</v>
      </c>
      <c r="K6" s="10">
        <v>50.4</v>
      </c>
      <c r="L6" s="10">
        <v>25.9</v>
      </c>
      <c r="M6" s="10">
        <v>0.90300000000000002</v>
      </c>
      <c r="N6" s="10" t="s">
        <v>72</v>
      </c>
      <c r="O6" s="11" t="str">
        <f>IF(OR(F6&lt;Thresholds!$B$6,H6&gt;=Thresholds!$B$7,K6&gt;=Thresholds!$B$9,L6&gt;Thresholds!$B$11,G6&gt;Thresholds!$B$10),"ISOLATE",IF(AND(F6&gt;=Thresholds!$B$5,K6&lt;=Thresholds!$B$8),"SAFE","DEGRADE/USE"))</f>
        <v>DEGRADE/USE</v>
      </c>
      <c r="P6" s="12">
        <f>Thresholds!$B$14*MIN(100-F6,40)/40+Thresholds!$B$15*MIN(H6,90)/90+Thresholds!$B$16*MIN(K6,100)/100+Thresholds!$B$17*MIN(I6,1600)/1600+Thresholds!$B$18*MIN(J6,5)/5+Thresholds!$B$19*MAX(0,G6-25)/25</f>
        <v>50.535277777777772</v>
      </c>
      <c r="Q6" s="11" t="str">
        <f>IF(P6&gt;Thresholds!$B$13,"High Risk",IF(P6&gt;Thresholds!$B$12,"Moderate Risk","Low Risk"))</f>
        <v>Moderate Risk</v>
      </c>
      <c r="R6" s="11" t="str">
        <f>TRIM(IF(F6&lt;Thresholds!$B$6,"Low SOH; ","")&amp;IF(H6&gt;=Thresholds!$B$7,"High IR; ","")&amp;IF(K6&gt;=Thresholds!$B$9,"High Imbalance; ","")&amp;IF(L6&gt;Thresholds!$B$11,"Sustained Heat 24h; ","")&amp;IF(G6&gt;Thresholds!$B$10,"High Temp; ",""))</f>
        <v/>
      </c>
    </row>
    <row r="7" spans="1:18" x14ac:dyDescent="0.3">
      <c r="A7" s="10" t="s">
        <v>77</v>
      </c>
      <c r="B7" s="10" t="s">
        <v>71</v>
      </c>
      <c r="C7" s="10">
        <v>48</v>
      </c>
      <c r="D7" s="10">
        <v>40</v>
      </c>
      <c r="E7" s="10">
        <v>81.400000000000006</v>
      </c>
      <c r="F7" s="10">
        <v>75.8</v>
      </c>
      <c r="G7" s="10">
        <v>29.3</v>
      </c>
      <c r="H7" s="10">
        <v>57.1</v>
      </c>
      <c r="I7" s="10">
        <v>673</v>
      </c>
      <c r="J7" s="10">
        <v>3.58</v>
      </c>
      <c r="K7" s="10">
        <v>75</v>
      </c>
      <c r="L7" s="10">
        <v>33.5</v>
      </c>
      <c r="M7" s="10">
        <v>1.1850000000000001</v>
      </c>
      <c r="N7" s="10" t="s">
        <v>72</v>
      </c>
      <c r="O7" s="11" t="str">
        <f>IF(OR(F7&lt;Thresholds!$B$6,H7&gt;=Thresholds!$B$7,K7&gt;=Thresholds!$B$9,L7&gt;Thresholds!$B$11,G7&gt;Thresholds!$B$10),"ISOLATE",IF(AND(F7&gt;=Thresholds!$B$5,K7&lt;=Thresholds!$B$8),"SAFE","DEGRADE/USE"))</f>
        <v>DEGRADE/USE</v>
      </c>
      <c r="P7" s="12">
        <f>Thresholds!$B$14*MIN(100-F7,40)/40+Thresholds!$B$15*MIN(H7,90)/90+Thresholds!$B$16*MIN(K7,100)/100+Thresholds!$B$17*MIN(I7,1600)/1600+Thresholds!$B$18*MIN(J7,5)/5+Thresholds!$B$19*MAX(0,G7-25)/25</f>
        <v>60.682361111111106</v>
      </c>
      <c r="Q7" s="11" t="str">
        <f>IF(P7&gt;Thresholds!$B$13,"High Risk",IF(P7&gt;Thresholds!$B$12,"Moderate Risk","Low Risk"))</f>
        <v>Moderate Risk</v>
      </c>
      <c r="R7" s="11" t="str">
        <f>TRIM(IF(F7&lt;Thresholds!$B$6,"Low SOH; ","")&amp;IF(H7&gt;=Thresholds!$B$7,"High IR; ","")&amp;IF(K7&gt;=Thresholds!$B$9,"High Imbalance; ","")&amp;IF(L7&gt;Thresholds!$B$11,"Sustained Heat 24h; ","")&amp;IF(G7&gt;Thresholds!$B$10,"High Temp; ",""))</f>
        <v/>
      </c>
    </row>
    <row r="8" spans="1:18" x14ac:dyDescent="0.3">
      <c r="A8" s="10" t="s">
        <v>78</v>
      </c>
      <c r="B8" s="10" t="s">
        <v>71</v>
      </c>
      <c r="C8" s="10">
        <v>48</v>
      </c>
      <c r="D8" s="10">
        <v>40</v>
      </c>
      <c r="E8" s="10">
        <v>49</v>
      </c>
      <c r="F8" s="10">
        <v>95</v>
      </c>
      <c r="G8" s="10">
        <v>38.1</v>
      </c>
      <c r="H8" s="10">
        <v>33.6</v>
      </c>
      <c r="I8" s="10">
        <v>177</v>
      </c>
      <c r="J8" s="10">
        <v>1.76</v>
      </c>
      <c r="K8" s="10">
        <v>12</v>
      </c>
      <c r="L8" s="10">
        <v>38.700000000000003</v>
      </c>
      <c r="M8" s="10">
        <v>0.89500000000000002</v>
      </c>
      <c r="N8" s="10" t="s">
        <v>72</v>
      </c>
      <c r="O8" s="11" t="str">
        <f>IF(OR(F8&lt;Thresholds!$B$6,H8&gt;=Thresholds!$B$7,K8&gt;=Thresholds!$B$9,L8&gt;Thresholds!$B$11,G8&gt;Thresholds!$B$10),"ISOLATE",IF(AND(F8&gt;=Thresholds!$B$5,K8&lt;=Thresholds!$B$8),"SAFE","DEGRADE/USE"))</f>
        <v>SAFE</v>
      </c>
      <c r="P8" s="12">
        <f>Thresholds!$B$14*MIN(100-F8,40)/40+Thresholds!$B$15*MIN(H8,90)/90+Thresholds!$B$16*MIN(K8,100)/100+Thresholds!$B$17*MIN(I8,1600)/1600+Thresholds!$B$18*MIN(J8,5)/5+Thresholds!$B$19*MAX(0,G8-25)/25</f>
        <v>21.594583333333336</v>
      </c>
      <c r="Q8" s="11" t="str">
        <f>IF(P8&gt;Thresholds!$B$13,"High Risk",IF(P8&gt;Thresholds!$B$12,"Moderate Risk","Low Risk"))</f>
        <v>Low Risk</v>
      </c>
      <c r="R8" s="11" t="str">
        <f>TRIM(IF(F8&lt;Thresholds!$B$6,"Low SOH; ","")&amp;IF(H8&gt;=Thresholds!$B$7,"High IR; ","")&amp;IF(K8&gt;=Thresholds!$B$9,"High Imbalance; ","")&amp;IF(L8&gt;Thresholds!$B$11,"Sustained Heat 24h; ","")&amp;IF(G8&gt;Thresholds!$B$10,"High Temp; ",""))</f>
        <v/>
      </c>
    </row>
    <row r="9" spans="1:18" x14ac:dyDescent="0.3">
      <c r="A9" s="10" t="s">
        <v>79</v>
      </c>
      <c r="B9" s="10" t="s">
        <v>71</v>
      </c>
      <c r="C9" s="10">
        <v>48</v>
      </c>
      <c r="D9" s="10">
        <v>40</v>
      </c>
      <c r="E9" s="10">
        <v>99</v>
      </c>
      <c r="F9" s="10">
        <v>72</v>
      </c>
      <c r="G9" s="10">
        <v>49</v>
      </c>
      <c r="H9" s="10">
        <v>84</v>
      </c>
      <c r="I9" s="10">
        <v>1551</v>
      </c>
      <c r="J9" s="10">
        <v>1.08</v>
      </c>
      <c r="K9" s="10">
        <v>91</v>
      </c>
      <c r="L9" s="10">
        <v>43.2</v>
      </c>
      <c r="M9" s="10">
        <v>0.69399999999999995</v>
      </c>
      <c r="N9" s="10" t="s">
        <v>80</v>
      </c>
      <c r="O9" s="11" t="str">
        <f>IF(OR(F9&lt;Thresholds!$B$6,H9&gt;=Thresholds!$B$7,K9&gt;=Thresholds!$B$9,L9&gt;Thresholds!$B$11,G9&gt;Thresholds!$B$10),"ISOLATE",IF(AND(F9&gt;=Thresholds!$B$5,K9&lt;=Thresholds!$B$8),"SAFE","DEGRADE/USE"))</f>
        <v>ISOLATE</v>
      </c>
      <c r="P9" s="12">
        <f>Thresholds!$B$14*MIN(100-F9,40)/40+Thresholds!$B$15*MIN(H9,90)/90+Thresholds!$B$16*MIN(K9,100)/100+Thresholds!$B$17*MIN(I9,1600)/1600+Thresholds!$B$18*MIN(J9,5)/5+Thresholds!$B$19*MAX(0,G9-25)/25</f>
        <v>81.607083333333321</v>
      </c>
      <c r="Q9" s="11" t="str">
        <f>IF(P9&gt;Thresholds!$B$13,"High Risk",IF(P9&gt;Thresholds!$B$12,"Moderate Risk","Low Risk"))</f>
        <v>High Risk</v>
      </c>
      <c r="R9" s="11" t="str">
        <f>TRIM(IF(F9&lt;Thresholds!$B$6,"Low SOH; ","")&amp;IF(H9&gt;=Thresholds!$B$7,"High IR; ","")&amp;IF(K9&gt;=Thresholds!$B$9,"High Imbalance; ","")&amp;IF(L9&gt;Thresholds!$B$11,"Sustained Heat 24h; ","")&amp;IF(G9&gt;Thresholds!$B$10,"High Temp; ",""))</f>
        <v>High IR; High Imbalance; High Temp;</v>
      </c>
    </row>
    <row r="10" spans="1:18" x14ac:dyDescent="0.3">
      <c r="A10" s="10" t="s">
        <v>81</v>
      </c>
      <c r="B10" s="10" t="s">
        <v>71</v>
      </c>
      <c r="C10" s="10">
        <v>48</v>
      </c>
      <c r="D10" s="10">
        <v>40</v>
      </c>
      <c r="E10" s="10">
        <v>83</v>
      </c>
      <c r="F10" s="10">
        <v>78.7</v>
      </c>
      <c r="G10" s="10">
        <v>33</v>
      </c>
      <c r="H10" s="10">
        <v>62.8</v>
      </c>
      <c r="I10" s="10">
        <v>874</v>
      </c>
      <c r="J10" s="10">
        <v>0.67</v>
      </c>
      <c r="K10" s="10">
        <v>60.4</v>
      </c>
      <c r="L10" s="10">
        <v>34.200000000000003</v>
      </c>
      <c r="M10" s="10">
        <v>1.2549999999999999</v>
      </c>
      <c r="N10" s="10" t="s">
        <v>72</v>
      </c>
      <c r="O10" s="11" t="str">
        <f>IF(OR(F10&lt;Thresholds!$B$6,H10&gt;=Thresholds!$B$7,K10&gt;=Thresholds!$B$9,L10&gt;Thresholds!$B$11,G10&gt;Thresholds!$B$10),"ISOLATE",IF(AND(F10&gt;=Thresholds!$B$5,K10&lt;=Thresholds!$B$8),"SAFE","DEGRADE/USE"))</f>
        <v>DEGRADE/USE</v>
      </c>
      <c r="P10" s="12">
        <f>Thresholds!$B$14*MIN(100-F10,40)/40+Thresholds!$B$15*MIN(H10,90)/90+Thresholds!$B$16*MIN(K10,100)/100+Thresholds!$B$17*MIN(I10,1600)/1600+Thresholds!$B$18*MIN(J10,5)/5+Thresholds!$B$19*MAX(0,G10-25)/25</f>
        <v>55.894444444444439</v>
      </c>
      <c r="Q10" s="11" t="str">
        <f>IF(P10&gt;Thresholds!$B$13,"High Risk",IF(P10&gt;Thresholds!$B$12,"Moderate Risk","Low Risk"))</f>
        <v>Moderate Risk</v>
      </c>
      <c r="R10" s="11" t="str">
        <f>TRIM(IF(F10&lt;Thresholds!$B$6,"Low SOH; ","")&amp;IF(H10&gt;=Thresholds!$B$7,"High IR; ","")&amp;IF(K10&gt;=Thresholds!$B$9,"High Imbalance; ","")&amp;IF(L10&gt;Thresholds!$B$11,"Sustained Heat 24h; ","")&amp;IF(G10&gt;Thresholds!$B$10,"High Temp; ",""))</f>
        <v/>
      </c>
    </row>
    <row r="11" spans="1:18" x14ac:dyDescent="0.3">
      <c r="A11" s="10" t="s">
        <v>82</v>
      </c>
      <c r="B11" s="10" t="s">
        <v>71</v>
      </c>
      <c r="C11" s="10">
        <v>48</v>
      </c>
      <c r="D11" s="10">
        <v>40</v>
      </c>
      <c r="E11" s="10">
        <v>67.7</v>
      </c>
      <c r="F11" s="10">
        <v>96</v>
      </c>
      <c r="G11" s="10">
        <v>23.5</v>
      </c>
      <c r="H11" s="10">
        <v>45.5</v>
      </c>
      <c r="I11" s="10">
        <v>293</v>
      </c>
      <c r="J11" s="10">
        <v>0.67</v>
      </c>
      <c r="K11" s="10">
        <v>19.3</v>
      </c>
      <c r="L11" s="10">
        <v>30.1</v>
      </c>
      <c r="M11" s="10">
        <v>1.2470000000000001</v>
      </c>
      <c r="N11" s="10" t="s">
        <v>72</v>
      </c>
      <c r="O11" s="11" t="str">
        <f>IF(OR(F11&lt;Thresholds!$B$6,H11&gt;=Thresholds!$B$7,K11&gt;=Thresholds!$B$9,L11&gt;Thresholds!$B$11,G11&gt;Thresholds!$B$10),"ISOLATE",IF(AND(F11&gt;=Thresholds!$B$5,K11&lt;=Thresholds!$B$8),"SAFE","DEGRADE/USE"))</f>
        <v>SAFE</v>
      </c>
      <c r="P11" s="12">
        <f>Thresholds!$B$14*MIN(100-F11,40)/40+Thresholds!$B$15*MIN(H11,90)/90+Thresholds!$B$16*MIN(K11,100)/100+Thresholds!$B$17*MIN(I11,1600)/1600+Thresholds!$B$18*MIN(J11,5)/5+Thresholds!$B$19*MAX(0,G11-25)/25</f>
        <v>22.500138888888891</v>
      </c>
      <c r="Q11" s="11" t="str">
        <f>IF(P11&gt;Thresholds!$B$13,"High Risk",IF(P11&gt;Thresholds!$B$12,"Moderate Risk","Low Risk"))</f>
        <v>Low Risk</v>
      </c>
      <c r="R11" s="11" t="str">
        <f>TRIM(IF(F11&lt;Thresholds!$B$6,"Low SOH; ","")&amp;IF(H11&gt;=Thresholds!$B$7,"High IR; ","")&amp;IF(K11&gt;=Thresholds!$B$9,"High Imbalance; ","")&amp;IF(L11&gt;Thresholds!$B$11,"Sustained Heat 24h; ","")&amp;IF(G11&gt;Thresholds!$B$10,"High Temp; ",""))</f>
        <v/>
      </c>
    </row>
    <row r="12" spans="1:18" x14ac:dyDescent="0.3">
      <c r="A12" s="10" t="s">
        <v>83</v>
      </c>
      <c r="B12" s="10" t="s">
        <v>71</v>
      </c>
      <c r="C12" s="10">
        <v>48</v>
      </c>
      <c r="D12" s="10">
        <v>40</v>
      </c>
      <c r="E12" s="10">
        <v>55.9</v>
      </c>
      <c r="F12" s="10">
        <v>71.599999999999994</v>
      </c>
      <c r="G12" s="10">
        <v>30.9</v>
      </c>
      <c r="H12" s="10">
        <v>64.5</v>
      </c>
      <c r="I12" s="10">
        <v>1590</v>
      </c>
      <c r="J12" s="10">
        <v>2.42</v>
      </c>
      <c r="K12" s="10">
        <v>55.9</v>
      </c>
      <c r="L12" s="10">
        <v>35.299999999999997</v>
      </c>
      <c r="M12" s="10">
        <v>0.76800000000000002</v>
      </c>
      <c r="N12" s="10" t="s">
        <v>72</v>
      </c>
      <c r="O12" s="11" t="str">
        <f>IF(OR(F12&lt;Thresholds!$B$6,H12&gt;=Thresholds!$B$7,K12&gt;=Thresholds!$B$9,L12&gt;Thresholds!$B$11,G12&gt;Thresholds!$B$10),"ISOLATE",IF(AND(F12&gt;=Thresholds!$B$5,K12&lt;=Thresholds!$B$8),"SAFE","DEGRADE/USE"))</f>
        <v>DEGRADE/USE</v>
      </c>
      <c r="P12" s="12">
        <f>Thresholds!$B$14*MIN(100-F12,40)/40+Thresholds!$B$15*MIN(H12,90)/90+Thresholds!$B$16*MIN(K12,100)/100+Thresholds!$B$17*MIN(I12,1600)/1600+Thresholds!$B$18*MIN(J12,5)/5+Thresholds!$B$19*MAX(0,G12-25)/25</f>
        <v>67.484166666666681</v>
      </c>
      <c r="Q12" s="11" t="str">
        <f>IF(P12&gt;Thresholds!$B$13,"High Risk",IF(P12&gt;Thresholds!$B$12,"Moderate Risk","Low Risk"))</f>
        <v>High Risk</v>
      </c>
      <c r="R12" s="11" t="str">
        <f>TRIM(IF(F12&lt;Thresholds!$B$6,"Low SOH; ","")&amp;IF(H12&gt;=Thresholds!$B$7,"High IR; ","")&amp;IF(K12&gt;=Thresholds!$B$9,"High Imbalance; ","")&amp;IF(L12&gt;Thresholds!$B$11,"Sustained Heat 24h; ","")&amp;IF(G12&gt;Thresholds!$B$10,"High Temp; ",""))</f>
        <v/>
      </c>
    </row>
    <row r="13" spans="1:18" x14ac:dyDescent="0.3">
      <c r="A13" s="10" t="s">
        <v>84</v>
      </c>
      <c r="B13" s="10" t="s">
        <v>71</v>
      </c>
      <c r="C13" s="10">
        <v>48</v>
      </c>
      <c r="D13" s="10">
        <v>40</v>
      </c>
      <c r="E13" s="10">
        <v>79</v>
      </c>
      <c r="F13" s="10">
        <v>76.3</v>
      </c>
      <c r="G13" s="10">
        <v>31.9</v>
      </c>
      <c r="H13" s="10">
        <v>73</v>
      </c>
      <c r="I13" s="10">
        <v>1377</v>
      </c>
      <c r="J13" s="10">
        <v>0.76</v>
      </c>
      <c r="K13" s="10">
        <v>49.7</v>
      </c>
      <c r="L13" s="10">
        <v>34.5</v>
      </c>
      <c r="M13" s="10">
        <v>1.1579999999999999</v>
      </c>
      <c r="N13" s="10" t="s">
        <v>72</v>
      </c>
      <c r="O13" s="11" t="str">
        <f>IF(OR(F13&lt;Thresholds!$B$6,H13&gt;=Thresholds!$B$7,K13&gt;=Thresholds!$B$9,L13&gt;Thresholds!$B$11,G13&gt;Thresholds!$B$10),"ISOLATE",IF(AND(F13&gt;=Thresholds!$B$5,K13&lt;=Thresholds!$B$8),"SAFE","DEGRADE/USE"))</f>
        <v>DEGRADE/USE</v>
      </c>
      <c r="P13" s="12">
        <f>Thresholds!$B$14*MIN(100-F13,40)/40+Thresholds!$B$15*MIN(H13,90)/90+Thresholds!$B$16*MIN(K13,100)/100+Thresholds!$B$17*MIN(I13,1600)/1600+Thresholds!$B$18*MIN(J13,5)/5+Thresholds!$B$19*MAX(0,G13-25)/25</f>
        <v>61.701527777777784</v>
      </c>
      <c r="Q13" s="11" t="str">
        <f>IF(P13&gt;Thresholds!$B$13,"High Risk",IF(P13&gt;Thresholds!$B$12,"Moderate Risk","Low Risk"))</f>
        <v>Moderate Risk</v>
      </c>
      <c r="R13" s="11" t="str">
        <f>TRIM(IF(F13&lt;Thresholds!$B$6,"Low SOH; ","")&amp;IF(H13&gt;=Thresholds!$B$7,"High IR; ","")&amp;IF(K13&gt;=Thresholds!$B$9,"High Imbalance; ","")&amp;IF(L13&gt;Thresholds!$B$11,"Sustained Heat 24h; ","")&amp;IF(G13&gt;Thresholds!$B$10,"High Temp; ",""))</f>
        <v/>
      </c>
    </row>
    <row r="14" spans="1:18" x14ac:dyDescent="0.3">
      <c r="A14" s="10" t="s">
        <v>85</v>
      </c>
      <c r="B14" s="10" t="s">
        <v>71</v>
      </c>
      <c r="C14" s="10">
        <v>48</v>
      </c>
      <c r="D14" s="10">
        <v>40</v>
      </c>
      <c r="E14" s="10">
        <v>86.2</v>
      </c>
      <c r="F14" s="10">
        <v>92.4</v>
      </c>
      <c r="G14" s="10">
        <v>27.6</v>
      </c>
      <c r="H14" s="10">
        <v>39.200000000000003</v>
      </c>
      <c r="I14" s="10">
        <v>67</v>
      </c>
      <c r="J14" s="10">
        <v>3.11</v>
      </c>
      <c r="K14" s="10">
        <v>36.299999999999997</v>
      </c>
      <c r="L14" s="10">
        <v>30.5</v>
      </c>
      <c r="M14" s="10">
        <v>1.5289999999999999</v>
      </c>
      <c r="N14" s="10" t="s">
        <v>72</v>
      </c>
      <c r="O14" s="11" t="str">
        <f>IF(OR(F14&lt;Thresholds!$B$6,H14&gt;=Thresholds!$B$7,K14&gt;=Thresholds!$B$9,L14&gt;Thresholds!$B$11,G14&gt;Thresholds!$B$10),"ISOLATE",IF(AND(F14&gt;=Thresholds!$B$5,K14&lt;=Thresholds!$B$8),"SAFE","DEGRADE/USE"))</f>
        <v>SAFE</v>
      </c>
      <c r="P14" s="12">
        <f>Thresholds!$B$14*MIN(100-F14,40)/40+Thresholds!$B$15*MIN(H14,90)/90+Thresholds!$B$16*MIN(K14,100)/100+Thresholds!$B$17*MIN(I14,1600)/1600+Thresholds!$B$18*MIN(J14,5)/5+Thresholds!$B$19*MAX(0,G14-25)/25</f>
        <v>28.847638888888881</v>
      </c>
      <c r="Q14" s="11" t="str">
        <f>IF(P14&gt;Thresholds!$B$13,"High Risk",IF(P14&gt;Thresholds!$B$12,"Moderate Risk","Low Risk"))</f>
        <v>Low Risk</v>
      </c>
      <c r="R14" s="11" t="str">
        <f>TRIM(IF(F14&lt;Thresholds!$B$6,"Low SOH; ","")&amp;IF(H14&gt;=Thresholds!$B$7,"High IR; ","")&amp;IF(K14&gt;=Thresholds!$B$9,"High Imbalance; ","")&amp;IF(L14&gt;Thresholds!$B$11,"Sustained Heat 24h; ","")&amp;IF(G14&gt;Thresholds!$B$10,"High Temp; ",""))</f>
        <v/>
      </c>
    </row>
    <row r="15" spans="1:18" x14ac:dyDescent="0.3">
      <c r="A15" s="10" t="s">
        <v>86</v>
      </c>
      <c r="B15" s="10" t="s">
        <v>71</v>
      </c>
      <c r="C15" s="10">
        <v>48</v>
      </c>
      <c r="D15" s="10">
        <v>40</v>
      </c>
      <c r="E15" s="10">
        <v>73</v>
      </c>
      <c r="F15" s="10">
        <v>86.7</v>
      </c>
      <c r="G15" s="10">
        <v>38.200000000000003</v>
      </c>
      <c r="H15" s="10">
        <v>53</v>
      </c>
      <c r="I15" s="10">
        <v>294</v>
      </c>
      <c r="J15" s="10">
        <v>4.16</v>
      </c>
      <c r="K15" s="10">
        <v>23.3</v>
      </c>
      <c r="L15" s="10">
        <v>38.799999999999997</v>
      </c>
      <c r="M15" s="10">
        <v>1.216</v>
      </c>
      <c r="N15" s="10" t="s">
        <v>72</v>
      </c>
      <c r="O15" s="11" t="str">
        <f>IF(OR(F15&lt;Thresholds!$B$6,H15&gt;=Thresholds!$B$7,K15&gt;=Thresholds!$B$9,L15&gt;Thresholds!$B$11,G15&gt;Thresholds!$B$10),"ISOLATE",IF(AND(F15&gt;=Thresholds!$B$5,K15&lt;=Thresholds!$B$8),"SAFE","DEGRADE/USE"))</f>
        <v>SAFE</v>
      </c>
      <c r="P15" s="12">
        <f>Thresholds!$B$14*MIN(100-F15,40)/40+Thresholds!$B$15*MIN(H15,90)/90+Thresholds!$B$16*MIN(K15,100)/100+Thresholds!$B$17*MIN(I15,1600)/1600+Thresholds!$B$18*MIN(J15,5)/5+Thresholds!$B$19*MAX(0,G15-25)/25</f>
        <v>39.657222222222217</v>
      </c>
      <c r="Q15" s="11" t="str">
        <f>IF(P15&gt;Thresholds!$B$13,"High Risk",IF(P15&gt;Thresholds!$B$12,"Moderate Risk","Low Risk"))</f>
        <v>Moderate Risk</v>
      </c>
      <c r="R15" s="11" t="str">
        <f>TRIM(IF(F15&lt;Thresholds!$B$6,"Low SOH; ","")&amp;IF(H15&gt;=Thresholds!$B$7,"High IR; ","")&amp;IF(K15&gt;=Thresholds!$B$9,"High Imbalance; ","")&amp;IF(L15&gt;Thresholds!$B$11,"Sustained Heat 24h; ","")&amp;IF(G15&gt;Thresholds!$B$10,"High Temp; ",""))</f>
        <v/>
      </c>
    </row>
    <row r="16" spans="1:18" x14ac:dyDescent="0.3">
      <c r="A16" s="10" t="s">
        <v>87</v>
      </c>
      <c r="B16" s="10" t="s">
        <v>71</v>
      </c>
      <c r="C16" s="10">
        <v>48</v>
      </c>
      <c r="D16" s="10">
        <v>40</v>
      </c>
      <c r="E16" s="10">
        <v>100</v>
      </c>
      <c r="F16" s="10">
        <v>90.4</v>
      </c>
      <c r="G16" s="10">
        <v>32.700000000000003</v>
      </c>
      <c r="H16" s="10">
        <v>46.8</v>
      </c>
      <c r="I16" s="10">
        <v>197</v>
      </c>
      <c r="J16" s="10">
        <v>2.23</v>
      </c>
      <c r="K16" s="10">
        <v>45.4</v>
      </c>
      <c r="L16" s="10">
        <v>33.1</v>
      </c>
      <c r="M16" s="10">
        <v>1.7350000000000001</v>
      </c>
      <c r="N16" s="10" t="s">
        <v>72</v>
      </c>
      <c r="O16" s="11" t="str">
        <f>IF(OR(F16&lt;Thresholds!$B$6,H16&gt;=Thresholds!$B$7,K16&gt;=Thresholds!$B$9,L16&gt;Thresholds!$B$11,G16&gt;Thresholds!$B$10),"ISOLATE",IF(AND(F16&gt;=Thresholds!$B$5,K16&lt;=Thresholds!$B$8),"SAFE","DEGRADE/USE"))</f>
        <v>SAFE</v>
      </c>
      <c r="P16" s="12">
        <f>Thresholds!$B$14*MIN(100-F16,40)/40+Thresholds!$B$15*MIN(H16,90)/90+Thresholds!$B$16*MIN(K16,100)/100+Thresholds!$B$17*MIN(I16,1600)/1600+Thresholds!$B$18*MIN(J16,5)/5+Thresholds!$B$19*MAX(0,G16-25)/25</f>
        <v>35.481249999999996</v>
      </c>
      <c r="Q16" s="11" t="str">
        <f>IF(P16&gt;Thresholds!$B$13,"High Risk",IF(P16&gt;Thresholds!$B$12,"Moderate Risk","Low Risk"))</f>
        <v>Moderate Risk</v>
      </c>
      <c r="R16" s="11" t="str">
        <f>TRIM(IF(F16&lt;Thresholds!$B$6,"Low SOH; ","")&amp;IF(H16&gt;=Thresholds!$B$7,"High IR; ","")&amp;IF(K16&gt;=Thresholds!$B$9,"High Imbalance; ","")&amp;IF(L16&gt;Thresholds!$B$11,"Sustained Heat 24h; ","")&amp;IF(G16&gt;Thresholds!$B$10,"High Temp; ",""))</f>
        <v/>
      </c>
    </row>
    <row r="17" spans="1:18" x14ac:dyDescent="0.3">
      <c r="A17" s="10" t="s">
        <v>88</v>
      </c>
      <c r="B17" s="10" t="s">
        <v>71</v>
      </c>
      <c r="C17" s="10">
        <v>48</v>
      </c>
      <c r="D17" s="10">
        <v>40</v>
      </c>
      <c r="E17" s="10">
        <v>58.4</v>
      </c>
      <c r="F17" s="10">
        <v>84.1</v>
      </c>
      <c r="G17" s="10">
        <v>33.1</v>
      </c>
      <c r="H17" s="10">
        <v>61.5</v>
      </c>
      <c r="I17" s="10">
        <v>567</v>
      </c>
      <c r="J17" s="10">
        <v>3.17</v>
      </c>
      <c r="K17" s="10">
        <v>57.7</v>
      </c>
      <c r="L17" s="10">
        <v>34.200000000000003</v>
      </c>
      <c r="M17" s="10">
        <v>0.94299999999999995</v>
      </c>
      <c r="N17" s="10" t="s">
        <v>72</v>
      </c>
      <c r="O17" s="11" t="str">
        <f>IF(OR(F17&lt;Thresholds!$B$6,H17&gt;=Thresholds!$B$7,K17&gt;=Thresholds!$B$9,L17&gt;Thresholds!$B$11,G17&gt;Thresholds!$B$10),"ISOLATE",IF(AND(F17&gt;=Thresholds!$B$5,K17&lt;=Thresholds!$B$8),"SAFE","DEGRADE/USE"))</f>
        <v>DEGRADE/USE</v>
      </c>
      <c r="P17" s="12">
        <f>Thresholds!$B$14*MIN(100-F17,40)/40+Thresholds!$B$15*MIN(H17,90)/90+Thresholds!$B$16*MIN(K17,100)/100+Thresholds!$B$17*MIN(I17,1600)/1600+Thresholds!$B$18*MIN(J17,5)/5+Thresholds!$B$19*MAX(0,G17-25)/25</f>
        <v>50.869583333333338</v>
      </c>
      <c r="Q17" s="11" t="str">
        <f>IF(P17&gt;Thresholds!$B$13,"High Risk",IF(P17&gt;Thresholds!$B$12,"Moderate Risk","Low Risk"))</f>
        <v>Moderate Risk</v>
      </c>
      <c r="R17" s="11" t="str">
        <f>TRIM(IF(F17&lt;Thresholds!$B$6,"Low SOH; ","")&amp;IF(H17&gt;=Thresholds!$B$7,"High IR; ","")&amp;IF(K17&gt;=Thresholds!$B$9,"High Imbalance; ","")&amp;IF(L17&gt;Thresholds!$B$11,"Sustained Heat 24h; ","")&amp;IF(G17&gt;Thresholds!$B$10,"High Temp; ",""))</f>
        <v/>
      </c>
    </row>
    <row r="18" spans="1:18" x14ac:dyDescent="0.3">
      <c r="A18" s="10" t="s">
        <v>89</v>
      </c>
      <c r="B18" s="10" t="s">
        <v>71</v>
      </c>
      <c r="C18" s="10">
        <v>48</v>
      </c>
      <c r="D18" s="10">
        <v>40</v>
      </c>
      <c r="E18" s="10">
        <v>59.1</v>
      </c>
      <c r="F18" s="10">
        <v>76.400000000000006</v>
      </c>
      <c r="G18" s="10">
        <v>31</v>
      </c>
      <c r="H18" s="10">
        <v>59.4</v>
      </c>
      <c r="I18" s="10">
        <v>667</v>
      </c>
      <c r="J18" s="10">
        <v>4.21</v>
      </c>
      <c r="K18" s="10">
        <v>55.2</v>
      </c>
      <c r="L18" s="10">
        <v>31.9</v>
      </c>
      <c r="M18" s="10">
        <v>0.86599999999999999</v>
      </c>
      <c r="N18" s="10" t="s">
        <v>72</v>
      </c>
      <c r="O18" s="11" t="str">
        <f>IF(OR(F18&lt;Thresholds!$B$6,H18&gt;=Thresholds!$B$7,K18&gt;=Thresholds!$B$9,L18&gt;Thresholds!$B$11,G18&gt;Thresholds!$B$10),"ISOLATE",IF(AND(F18&gt;=Thresholds!$B$5,K18&lt;=Thresholds!$B$8),"SAFE","DEGRADE/USE"))</f>
        <v>DEGRADE/USE</v>
      </c>
      <c r="P18" s="12">
        <f>Thresholds!$B$14*MIN(100-F18,40)/40+Thresholds!$B$15*MIN(H18,90)/90+Thresholds!$B$16*MIN(K18,100)/100+Thresholds!$B$17*MIN(I18,1600)/1600+Thresholds!$B$18*MIN(J18,5)/5+Thresholds!$B$19*MAX(0,G18-25)/25</f>
        <v>57.768749999999997</v>
      </c>
      <c r="Q18" s="11" t="str">
        <f>IF(P18&gt;Thresholds!$B$13,"High Risk",IF(P18&gt;Thresholds!$B$12,"Moderate Risk","Low Risk"))</f>
        <v>Moderate Risk</v>
      </c>
      <c r="R18" s="11" t="str">
        <f>TRIM(IF(F18&lt;Thresholds!$B$6,"Low SOH; ","")&amp;IF(H18&gt;=Thresholds!$B$7,"High IR; ","")&amp;IF(K18&gt;=Thresholds!$B$9,"High Imbalance; ","")&amp;IF(L18&gt;Thresholds!$B$11,"Sustained Heat 24h; ","")&amp;IF(G18&gt;Thresholds!$B$10,"High Temp; ",""))</f>
        <v/>
      </c>
    </row>
    <row r="19" spans="1:18" x14ac:dyDescent="0.3">
      <c r="A19" s="10" t="s">
        <v>90</v>
      </c>
      <c r="B19" s="10" t="s">
        <v>71</v>
      </c>
      <c r="C19" s="10">
        <v>48</v>
      </c>
      <c r="D19" s="10">
        <v>40</v>
      </c>
      <c r="E19" s="10">
        <v>90.4</v>
      </c>
      <c r="F19" s="10">
        <v>72.099999999999994</v>
      </c>
      <c r="G19" s="10">
        <v>24.7</v>
      </c>
      <c r="H19" s="10">
        <v>68</v>
      </c>
      <c r="I19" s="10">
        <v>1097</v>
      </c>
      <c r="J19" s="10">
        <v>4.16</v>
      </c>
      <c r="K19" s="10">
        <v>65.7</v>
      </c>
      <c r="L19" s="10">
        <v>31.8</v>
      </c>
      <c r="M19" s="10">
        <v>1.2509999999999999</v>
      </c>
      <c r="N19" s="10" t="s">
        <v>72</v>
      </c>
      <c r="O19" s="11" t="str">
        <f>IF(OR(F19&lt;Thresholds!$B$6,H19&gt;=Thresholds!$B$7,K19&gt;=Thresholds!$B$9,L19&gt;Thresholds!$B$11,G19&gt;Thresholds!$B$10),"ISOLATE",IF(AND(F19&gt;=Thresholds!$B$5,K19&lt;=Thresholds!$B$8),"SAFE","DEGRADE/USE"))</f>
        <v>DEGRADE/USE</v>
      </c>
      <c r="P19" s="12">
        <f>Thresholds!$B$14*MIN(100-F19,40)/40+Thresholds!$B$15*MIN(H19,90)/90+Thresholds!$B$16*MIN(K19,100)/100+Thresholds!$B$17*MIN(I19,1600)/1600+Thresholds!$B$18*MIN(J19,5)/5+Thresholds!$B$19*MAX(0,G19-25)/25</f>
        <v>67.457638888888894</v>
      </c>
      <c r="Q19" s="11" t="str">
        <f>IF(P19&gt;Thresholds!$B$13,"High Risk",IF(P19&gt;Thresholds!$B$12,"Moderate Risk","Low Risk"))</f>
        <v>High Risk</v>
      </c>
      <c r="R19" s="11" t="str">
        <f>TRIM(IF(F19&lt;Thresholds!$B$6,"Low SOH; ","")&amp;IF(H19&gt;=Thresholds!$B$7,"High IR; ","")&amp;IF(K19&gt;=Thresholds!$B$9,"High Imbalance; ","")&amp;IF(L19&gt;Thresholds!$B$11,"Sustained Heat 24h; ","")&amp;IF(G19&gt;Thresholds!$B$10,"High Temp; ",""))</f>
        <v/>
      </c>
    </row>
    <row r="20" spans="1:18" x14ac:dyDescent="0.3">
      <c r="A20" s="10" t="s">
        <v>91</v>
      </c>
      <c r="B20" s="10" t="s">
        <v>71</v>
      </c>
      <c r="C20" s="10">
        <v>48</v>
      </c>
      <c r="D20" s="10">
        <v>40</v>
      </c>
      <c r="E20" s="10">
        <v>52.1</v>
      </c>
      <c r="F20" s="10">
        <v>72.7</v>
      </c>
      <c r="G20" s="10">
        <v>26.9</v>
      </c>
      <c r="H20" s="10">
        <v>67.8</v>
      </c>
      <c r="I20" s="10">
        <v>1184</v>
      </c>
      <c r="J20" s="10">
        <v>1.7</v>
      </c>
      <c r="K20" s="10">
        <v>65.400000000000006</v>
      </c>
      <c r="L20" s="10">
        <v>31.1</v>
      </c>
      <c r="M20" s="10">
        <v>0.72699999999999998</v>
      </c>
      <c r="N20" s="10" t="s">
        <v>72</v>
      </c>
      <c r="O20" s="11" t="str">
        <f>IF(OR(F20&lt;Thresholds!$B$6,H20&gt;=Thresholds!$B$7,K20&gt;=Thresholds!$B$9,L20&gt;Thresholds!$B$11,G20&gt;Thresholds!$B$10),"ISOLATE",IF(AND(F20&gt;=Thresholds!$B$5,K20&lt;=Thresholds!$B$8),"SAFE","DEGRADE/USE"))</f>
        <v>DEGRADE/USE</v>
      </c>
      <c r="P20" s="12">
        <f>Thresholds!$B$14*MIN(100-F20,40)/40+Thresholds!$B$15*MIN(H20,90)/90+Thresholds!$B$16*MIN(K20,100)/100+Thresholds!$B$17*MIN(I20,1600)/1600+Thresholds!$B$18*MIN(J20,5)/5+Thresholds!$B$19*MAX(0,G20-25)/25</f>
        <v>65.28083333333332</v>
      </c>
      <c r="Q20" s="11" t="str">
        <f>IF(P20&gt;Thresholds!$B$13,"High Risk",IF(P20&gt;Thresholds!$B$12,"Moderate Risk","Low Risk"))</f>
        <v>High Risk</v>
      </c>
      <c r="R20" s="11" t="str">
        <f>TRIM(IF(F20&lt;Thresholds!$B$6,"Low SOH; ","")&amp;IF(H20&gt;=Thresholds!$B$7,"High IR; ","")&amp;IF(K20&gt;=Thresholds!$B$9,"High Imbalance; ","")&amp;IF(L20&gt;Thresholds!$B$11,"Sustained Heat 24h; ","")&amp;IF(G20&gt;Thresholds!$B$10,"High Temp; ",""))</f>
        <v/>
      </c>
    </row>
    <row r="21" spans="1:18" x14ac:dyDescent="0.3">
      <c r="A21" s="10" t="s">
        <v>92</v>
      </c>
      <c r="B21" s="10" t="s">
        <v>71</v>
      </c>
      <c r="C21" s="10">
        <v>48</v>
      </c>
      <c r="D21" s="10">
        <v>40</v>
      </c>
      <c r="E21" s="10">
        <v>86.3</v>
      </c>
      <c r="F21" s="10">
        <v>71.7</v>
      </c>
      <c r="G21" s="10">
        <v>26.7</v>
      </c>
      <c r="H21" s="10">
        <v>70.099999999999994</v>
      </c>
      <c r="I21" s="10">
        <v>1001</v>
      </c>
      <c r="J21" s="10">
        <v>2.92</v>
      </c>
      <c r="K21" s="10">
        <v>59.7</v>
      </c>
      <c r="L21" s="10">
        <v>29.1</v>
      </c>
      <c r="M21" s="10">
        <v>1.1879999999999999</v>
      </c>
      <c r="N21" s="10" t="s">
        <v>72</v>
      </c>
      <c r="O21" s="11" t="str">
        <f>IF(OR(F21&lt;Thresholds!$B$6,H21&gt;=Thresholds!$B$7,K21&gt;=Thresholds!$B$9,L21&gt;Thresholds!$B$11,G21&gt;Thresholds!$B$10),"ISOLATE",IF(AND(F21&gt;=Thresholds!$B$5,K21&lt;=Thresholds!$B$8),"SAFE","DEGRADE/USE"))</f>
        <v>DEGRADE/USE</v>
      </c>
      <c r="P21" s="12">
        <f>Thresholds!$B$14*MIN(100-F21,40)/40+Thresholds!$B$15*MIN(H21,90)/90+Thresholds!$B$16*MIN(K21,100)/100+Thresholds!$B$17*MIN(I21,1600)/1600+Thresholds!$B$18*MIN(J21,5)/5+Thresholds!$B$19*MAX(0,G21-25)/25</f>
        <v>65.690972222222214</v>
      </c>
      <c r="Q21" s="11" t="str">
        <f>IF(P21&gt;Thresholds!$B$13,"High Risk",IF(P21&gt;Thresholds!$B$12,"Moderate Risk","Low Risk"))</f>
        <v>High Risk</v>
      </c>
      <c r="R21" s="11" t="str">
        <f>TRIM(IF(F21&lt;Thresholds!$B$6,"Low SOH; ","")&amp;IF(H21&gt;=Thresholds!$B$7,"High IR; ","")&amp;IF(K21&gt;=Thresholds!$B$9,"High Imbalance; ","")&amp;IF(L21&gt;Thresholds!$B$11,"Sustained Heat 24h; ","")&amp;IF(G21&gt;Thresholds!$B$10,"High Temp; ",""))</f>
        <v/>
      </c>
    </row>
    <row r="22" spans="1:18" x14ac:dyDescent="0.3">
      <c r="A22" s="10" t="s">
        <v>93</v>
      </c>
      <c r="B22" s="10" t="s">
        <v>71</v>
      </c>
      <c r="C22" s="10">
        <v>48</v>
      </c>
      <c r="D22" s="10">
        <v>40</v>
      </c>
      <c r="E22" s="10">
        <v>40</v>
      </c>
      <c r="F22" s="10">
        <v>86.4</v>
      </c>
      <c r="G22" s="10">
        <v>37.6</v>
      </c>
      <c r="H22" s="10">
        <v>53.6</v>
      </c>
      <c r="I22" s="10">
        <v>729</v>
      </c>
      <c r="J22" s="10">
        <v>2.48</v>
      </c>
      <c r="K22" s="10">
        <v>39.6</v>
      </c>
      <c r="L22" s="10">
        <v>39.9</v>
      </c>
      <c r="M22" s="10">
        <v>0.66300000000000003</v>
      </c>
      <c r="N22" s="10" t="s">
        <v>72</v>
      </c>
      <c r="O22" s="11" t="str">
        <f>IF(OR(F22&lt;Thresholds!$B$6,H22&gt;=Thresholds!$B$7,K22&gt;=Thresholds!$B$9,L22&gt;Thresholds!$B$11,G22&gt;Thresholds!$B$10),"ISOLATE",IF(AND(F22&gt;=Thresholds!$B$5,K22&lt;=Thresholds!$B$8),"SAFE","DEGRADE/USE"))</f>
        <v>SAFE</v>
      </c>
      <c r="P22" s="12">
        <f>Thresholds!$B$14*MIN(100-F22,40)/40+Thresholds!$B$15*MIN(H22,90)/90+Thresholds!$B$16*MIN(K22,100)/100+Thresholds!$B$17*MIN(I22,1600)/1600+Thresholds!$B$18*MIN(J22,5)/5+Thresholds!$B$19*MAX(0,G22-25)/25</f>
        <v>44.265138888888885</v>
      </c>
      <c r="Q22" s="11" t="str">
        <f>IF(P22&gt;Thresholds!$B$13,"High Risk",IF(P22&gt;Thresholds!$B$12,"Moderate Risk","Low Risk"))</f>
        <v>Moderate Risk</v>
      </c>
      <c r="R22" s="11" t="str">
        <f>TRIM(IF(F22&lt;Thresholds!$B$6,"Low SOH; ","")&amp;IF(H22&gt;=Thresholds!$B$7,"High IR; ","")&amp;IF(K22&gt;=Thresholds!$B$9,"High Imbalance; ","")&amp;IF(L22&gt;Thresholds!$B$11,"Sustained Heat 24h; ","")&amp;IF(G22&gt;Thresholds!$B$10,"High Temp; ",""))</f>
        <v/>
      </c>
    </row>
    <row r="23" spans="1:18" x14ac:dyDescent="0.3">
      <c r="A23" s="10" t="s">
        <v>94</v>
      </c>
      <c r="B23" s="10" t="s">
        <v>71</v>
      </c>
      <c r="C23" s="10">
        <v>48</v>
      </c>
      <c r="D23" s="10">
        <v>40</v>
      </c>
      <c r="E23" s="10">
        <v>52.3</v>
      </c>
      <c r="F23" s="10">
        <v>65.3</v>
      </c>
      <c r="G23" s="10">
        <v>31.7</v>
      </c>
      <c r="H23" s="10">
        <v>81.599999999999994</v>
      </c>
      <c r="I23" s="10">
        <v>1529</v>
      </c>
      <c r="J23" s="10">
        <v>0.78</v>
      </c>
      <c r="K23" s="10">
        <v>54.4</v>
      </c>
      <c r="L23" s="10">
        <v>32.1</v>
      </c>
      <c r="M23" s="10">
        <v>0.65500000000000003</v>
      </c>
      <c r="N23" s="10" t="s">
        <v>72</v>
      </c>
      <c r="O23" s="11" t="str">
        <f>IF(OR(F23&lt;Thresholds!$B$6,H23&gt;=Thresholds!$B$7,K23&gt;=Thresholds!$B$9,L23&gt;Thresholds!$B$11,G23&gt;Thresholds!$B$10),"ISOLATE",IF(AND(F23&gt;=Thresholds!$B$5,K23&lt;=Thresholds!$B$8),"SAFE","DEGRADE/USE"))</f>
        <v>ISOLATE</v>
      </c>
      <c r="P23" s="12">
        <f>Thresholds!$B$14*MIN(100-F23,40)/40+Thresholds!$B$15*MIN(H23,90)/90+Thresholds!$B$16*MIN(K23,100)/100+Thresholds!$B$17*MIN(I23,1600)/1600+Thresholds!$B$18*MIN(J23,5)/5+Thresholds!$B$19*MAX(0,G23-25)/25</f>
        <v>75.585416666666674</v>
      </c>
      <c r="Q23" s="11" t="str">
        <f>IF(P23&gt;Thresholds!$B$13,"High Risk",IF(P23&gt;Thresholds!$B$12,"Moderate Risk","Low Risk"))</f>
        <v>High Risk</v>
      </c>
      <c r="R23" s="11" t="str">
        <f>TRIM(IF(F23&lt;Thresholds!$B$6,"Low SOH; ","")&amp;IF(H23&gt;=Thresholds!$B$7,"High IR; ","")&amp;IF(K23&gt;=Thresholds!$B$9,"High Imbalance; ","")&amp;IF(L23&gt;Thresholds!$B$11,"Sustained Heat 24h; ","")&amp;IF(G23&gt;Thresholds!$B$10,"High Temp; ",""))</f>
        <v>High IR;</v>
      </c>
    </row>
    <row r="24" spans="1:18" x14ac:dyDescent="0.3">
      <c r="A24" s="10" t="s">
        <v>95</v>
      </c>
      <c r="B24" s="10" t="s">
        <v>71</v>
      </c>
      <c r="C24" s="10">
        <v>48</v>
      </c>
      <c r="D24" s="10">
        <v>40</v>
      </c>
      <c r="E24" s="10">
        <v>68.599999999999994</v>
      </c>
      <c r="F24" s="10">
        <v>91.9</v>
      </c>
      <c r="G24" s="10">
        <v>33.799999999999997</v>
      </c>
      <c r="H24" s="10">
        <v>52.1</v>
      </c>
      <c r="I24" s="10">
        <v>623</v>
      </c>
      <c r="J24" s="10">
        <v>1.1599999999999999</v>
      </c>
      <c r="K24" s="10">
        <v>10.5</v>
      </c>
      <c r="L24" s="10">
        <v>38.6</v>
      </c>
      <c r="M24" s="10">
        <v>1.2090000000000001</v>
      </c>
      <c r="N24" s="10" t="s">
        <v>72</v>
      </c>
      <c r="O24" s="11" t="str">
        <f>IF(OR(F24&lt;Thresholds!$B$6,H24&gt;=Thresholds!$B$7,K24&gt;=Thresholds!$B$9,L24&gt;Thresholds!$B$11,G24&gt;Thresholds!$B$10),"ISOLATE",IF(AND(F24&gt;=Thresholds!$B$5,K24&lt;=Thresholds!$B$8),"SAFE","DEGRADE/USE"))</f>
        <v>SAFE</v>
      </c>
      <c r="P24" s="12">
        <f>Thresholds!$B$14*MIN(100-F24,40)/40+Thresholds!$B$15*MIN(H24,90)/90+Thresholds!$B$16*MIN(K24,100)/100+Thresholds!$B$17*MIN(I24,1600)/1600+Thresholds!$B$18*MIN(J24,5)/5+Thresholds!$B$19*MAX(0,G24-25)/25</f>
        <v>30.473472222222217</v>
      </c>
      <c r="Q24" s="11" t="str">
        <f>IF(P24&gt;Thresholds!$B$13,"High Risk",IF(P24&gt;Thresholds!$B$12,"Moderate Risk","Low Risk"))</f>
        <v>Low Risk</v>
      </c>
      <c r="R24" s="11" t="str">
        <f>TRIM(IF(F24&lt;Thresholds!$B$6,"Low SOH; ","")&amp;IF(H24&gt;=Thresholds!$B$7,"High IR; ","")&amp;IF(K24&gt;=Thresholds!$B$9,"High Imbalance; ","")&amp;IF(L24&gt;Thresholds!$B$11,"Sustained Heat 24h; ","")&amp;IF(G24&gt;Thresholds!$B$10,"High Temp; ",""))</f>
        <v/>
      </c>
    </row>
    <row r="25" spans="1:18" x14ac:dyDescent="0.3">
      <c r="A25" s="10" t="s">
        <v>96</v>
      </c>
      <c r="B25" s="10" t="s">
        <v>71</v>
      </c>
      <c r="C25" s="10">
        <v>48</v>
      </c>
      <c r="D25" s="10">
        <v>40</v>
      </c>
      <c r="E25" s="10">
        <v>63.9</v>
      </c>
      <c r="F25" s="10">
        <v>79.900000000000006</v>
      </c>
      <c r="G25" s="10">
        <v>33.6</v>
      </c>
      <c r="H25" s="10">
        <v>59.5</v>
      </c>
      <c r="I25" s="10">
        <v>681</v>
      </c>
      <c r="J25" s="10">
        <v>0.6</v>
      </c>
      <c r="K25" s="10">
        <v>39.1</v>
      </c>
      <c r="L25" s="10">
        <v>39.700000000000003</v>
      </c>
      <c r="M25" s="10">
        <v>0.98099999999999998</v>
      </c>
      <c r="N25" s="10" t="s">
        <v>72</v>
      </c>
      <c r="O25" s="11" t="str">
        <f>IF(OR(F25&lt;Thresholds!$B$6,H25&gt;=Thresholds!$B$7,K25&gt;=Thresholds!$B$9,L25&gt;Thresholds!$B$11,G25&gt;Thresholds!$B$10),"ISOLATE",IF(AND(F25&gt;=Thresholds!$B$5,K25&lt;=Thresholds!$B$8),"SAFE","DEGRADE/USE"))</f>
        <v>DEGRADE/USE</v>
      </c>
      <c r="P25" s="12">
        <f>Thresholds!$B$14*MIN(100-F25,40)/40+Thresholds!$B$15*MIN(H25,90)/90+Thresholds!$B$16*MIN(K25,100)/100+Thresholds!$B$17*MIN(I25,1600)/1600+Thresholds!$B$18*MIN(J25,5)/5+Thresholds!$B$19*MAX(0,G25-25)/25</f>
        <v>48.511527777777779</v>
      </c>
      <c r="Q25" s="11" t="str">
        <f>IF(P25&gt;Thresholds!$B$13,"High Risk",IF(P25&gt;Thresholds!$B$12,"Moderate Risk","Low Risk"))</f>
        <v>Moderate Risk</v>
      </c>
      <c r="R25" s="11" t="str">
        <f>TRIM(IF(F25&lt;Thresholds!$B$6,"Low SOH; ","")&amp;IF(H25&gt;=Thresholds!$B$7,"High IR; ","")&amp;IF(K25&gt;=Thresholds!$B$9,"High Imbalance; ","")&amp;IF(L25&gt;Thresholds!$B$11,"Sustained Heat 24h; ","")&amp;IF(G25&gt;Thresholds!$B$10,"High Temp; ",""))</f>
        <v/>
      </c>
    </row>
    <row r="26" spans="1:18" x14ac:dyDescent="0.3">
      <c r="A26" s="10" t="s">
        <v>97</v>
      </c>
      <c r="B26" s="10" t="s">
        <v>71</v>
      </c>
      <c r="C26" s="10">
        <v>48</v>
      </c>
      <c r="D26" s="10">
        <v>40</v>
      </c>
      <c r="E26" s="10">
        <v>100</v>
      </c>
      <c r="F26" s="10">
        <v>88.3</v>
      </c>
      <c r="G26" s="10">
        <v>33.5</v>
      </c>
      <c r="H26" s="10">
        <v>50.8</v>
      </c>
      <c r="I26" s="10">
        <v>666</v>
      </c>
      <c r="J26" s="10">
        <v>1.27</v>
      </c>
      <c r="K26" s="10">
        <v>26</v>
      </c>
      <c r="L26" s="10">
        <v>41.5</v>
      </c>
      <c r="M26" s="10">
        <v>1.6950000000000001</v>
      </c>
      <c r="N26" s="10" t="s">
        <v>72</v>
      </c>
      <c r="O26" s="11" t="str">
        <f>IF(OR(F26&lt;Thresholds!$B$6,H26&gt;=Thresholds!$B$7,K26&gt;=Thresholds!$B$9,L26&gt;Thresholds!$B$11,G26&gt;Thresholds!$B$10),"ISOLATE",IF(AND(F26&gt;=Thresholds!$B$5,K26&lt;=Thresholds!$B$8),"SAFE","DEGRADE/USE"))</f>
        <v>SAFE</v>
      </c>
      <c r="P26" s="12">
        <f>Thresholds!$B$14*MIN(100-F26,40)/40+Thresholds!$B$15*MIN(H26,90)/90+Thresholds!$B$16*MIN(K26,100)/100+Thresholds!$B$17*MIN(I26,1600)/1600+Thresholds!$B$18*MIN(J26,5)/5+Thresholds!$B$19*MAX(0,G26-25)/25</f>
        <v>36.681111111111115</v>
      </c>
      <c r="Q26" s="11" t="str">
        <f>IF(P26&gt;Thresholds!$B$13,"High Risk",IF(P26&gt;Thresholds!$B$12,"Moderate Risk","Low Risk"))</f>
        <v>Moderate Risk</v>
      </c>
      <c r="R26" s="11" t="str">
        <f>TRIM(IF(F26&lt;Thresholds!$B$6,"Low SOH; ","")&amp;IF(H26&gt;=Thresholds!$B$7,"High IR; ","")&amp;IF(K26&gt;=Thresholds!$B$9,"High Imbalance; ","")&amp;IF(L26&gt;Thresholds!$B$11,"Sustained Heat 24h; ","")&amp;IF(G26&gt;Thresholds!$B$10,"High Temp; ",""))</f>
        <v/>
      </c>
    </row>
    <row r="27" spans="1:18" x14ac:dyDescent="0.3">
      <c r="A27" s="10" t="s">
        <v>98</v>
      </c>
      <c r="B27" s="10" t="s">
        <v>71</v>
      </c>
      <c r="C27" s="10">
        <v>48</v>
      </c>
      <c r="D27" s="10">
        <v>40</v>
      </c>
      <c r="E27" s="10">
        <v>53</v>
      </c>
      <c r="F27" s="10">
        <v>63.9</v>
      </c>
      <c r="G27" s="10">
        <v>39.9</v>
      </c>
      <c r="H27" s="10">
        <v>80.400000000000006</v>
      </c>
      <c r="I27" s="10">
        <v>1505</v>
      </c>
      <c r="J27" s="10">
        <v>4.8</v>
      </c>
      <c r="K27" s="10">
        <v>81.5</v>
      </c>
      <c r="L27" s="10">
        <v>44</v>
      </c>
      <c r="M27" s="10">
        <v>0.65</v>
      </c>
      <c r="N27" s="10" t="s">
        <v>80</v>
      </c>
      <c r="O27" s="11" t="str">
        <f>IF(OR(F27&lt;Thresholds!$B$6,H27&gt;=Thresholds!$B$7,K27&gt;=Thresholds!$B$9,L27&gt;Thresholds!$B$11,G27&gt;Thresholds!$B$10),"ISOLATE",IF(AND(F27&gt;=Thresholds!$B$5,K27&lt;=Thresholds!$B$8),"SAFE","DEGRADE/USE"))</f>
        <v>ISOLATE</v>
      </c>
      <c r="P27" s="12">
        <f>Thresholds!$B$14*MIN(100-F27,40)/40+Thresholds!$B$15*MIN(H27,90)/90+Thresholds!$B$16*MIN(K27,100)/100+Thresholds!$B$17*MIN(I27,1600)/1600+Thresholds!$B$18*MIN(J27,5)/5+Thresholds!$B$19*MAX(0,G27-25)/25</f>
        <v>87.407083333333333</v>
      </c>
      <c r="Q27" s="11" t="str">
        <f>IF(P27&gt;Thresholds!$B$13,"High Risk",IF(P27&gt;Thresholds!$B$12,"Moderate Risk","Low Risk"))</f>
        <v>High Risk</v>
      </c>
      <c r="R27" s="11" t="str">
        <f>TRIM(IF(F27&lt;Thresholds!$B$6,"Low SOH; ","")&amp;IF(H27&gt;=Thresholds!$B$7,"High IR; ","")&amp;IF(K27&gt;=Thresholds!$B$9,"High Imbalance; ","")&amp;IF(L27&gt;Thresholds!$B$11,"Sustained Heat 24h; ","")&amp;IF(G27&gt;Thresholds!$B$10,"High Temp; ",""))</f>
        <v>High IR; High Imbalance;</v>
      </c>
    </row>
    <row r="28" spans="1:18" x14ac:dyDescent="0.3">
      <c r="A28" s="10" t="s">
        <v>99</v>
      </c>
      <c r="B28" s="10" t="s">
        <v>71</v>
      </c>
      <c r="C28" s="10">
        <v>48</v>
      </c>
      <c r="D28" s="10">
        <v>40</v>
      </c>
      <c r="E28" s="10">
        <v>71.400000000000006</v>
      </c>
      <c r="F28" s="10">
        <v>58</v>
      </c>
      <c r="G28" s="10">
        <v>35.799999999999997</v>
      </c>
      <c r="H28" s="10">
        <v>88.3</v>
      </c>
      <c r="I28" s="10">
        <v>1580</v>
      </c>
      <c r="J28" s="10">
        <v>4.55</v>
      </c>
      <c r="K28" s="10">
        <v>89.2</v>
      </c>
      <c r="L28" s="10">
        <v>36.4</v>
      </c>
      <c r="M28" s="10">
        <v>0.79500000000000004</v>
      </c>
      <c r="N28" s="10" t="s">
        <v>80</v>
      </c>
      <c r="O28" s="11" t="str">
        <f>IF(OR(F28&lt;Thresholds!$B$6,H28&gt;=Thresholds!$B$7,K28&gt;=Thresholds!$B$9,L28&gt;Thresholds!$B$11,G28&gt;Thresholds!$B$10),"ISOLATE",IF(AND(F28&gt;=Thresholds!$B$5,K28&lt;=Thresholds!$B$8),"SAFE","DEGRADE/USE"))</f>
        <v>ISOLATE</v>
      </c>
      <c r="P28" s="12">
        <f>Thresholds!$B$14*MIN(100-F28,40)/40+Thresholds!$B$15*MIN(H28,90)/90+Thresholds!$B$16*MIN(K28,100)/100+Thresholds!$B$17*MIN(I28,1600)/1600+Thresholds!$B$18*MIN(J28,5)/5+Thresholds!$B$19*MAX(0,G28-25)/25</f>
        <v>93.952777777777769</v>
      </c>
      <c r="Q28" s="11" t="str">
        <f>IF(P28&gt;Thresholds!$B$13,"High Risk",IF(P28&gt;Thresholds!$B$12,"Moderate Risk","Low Risk"))</f>
        <v>High Risk</v>
      </c>
      <c r="R28" s="11" t="str">
        <f>TRIM(IF(F28&lt;Thresholds!$B$6,"Low SOH; ","")&amp;IF(H28&gt;=Thresholds!$B$7,"High IR; ","")&amp;IF(K28&gt;=Thresholds!$B$9,"High Imbalance; ","")&amp;IF(L28&gt;Thresholds!$B$11,"Sustained Heat 24h; ","")&amp;IF(G28&gt;Thresholds!$B$10,"High Temp; ",""))</f>
        <v>Low SOH; High IR; High Imbalance;</v>
      </c>
    </row>
    <row r="29" spans="1:18" x14ac:dyDescent="0.3">
      <c r="A29" s="10" t="s">
        <v>100</v>
      </c>
      <c r="B29" s="10" t="s">
        <v>71</v>
      </c>
      <c r="C29" s="10">
        <v>48</v>
      </c>
      <c r="D29" s="10">
        <v>40</v>
      </c>
      <c r="E29" s="10">
        <v>75.099999999999994</v>
      </c>
      <c r="F29" s="10">
        <v>63.4</v>
      </c>
      <c r="G29" s="10">
        <v>33</v>
      </c>
      <c r="H29" s="10">
        <v>79.599999999999994</v>
      </c>
      <c r="I29" s="10">
        <v>1485</v>
      </c>
      <c r="J29" s="10">
        <v>4.1500000000000004</v>
      </c>
      <c r="K29" s="10">
        <v>85.1</v>
      </c>
      <c r="L29" s="10">
        <v>36.200000000000003</v>
      </c>
      <c r="M29" s="10">
        <v>0.91500000000000004</v>
      </c>
      <c r="N29" s="10" t="s">
        <v>80</v>
      </c>
      <c r="O29" s="11" t="str">
        <f>IF(OR(F29&lt;Thresholds!$B$6,H29&gt;=Thresholds!$B$7,K29&gt;=Thresholds!$B$9,L29&gt;Thresholds!$B$11,G29&gt;Thresholds!$B$10),"ISOLATE",IF(AND(F29&gt;=Thresholds!$B$5,K29&lt;=Thresholds!$B$8),"SAFE","DEGRADE/USE"))</f>
        <v>ISOLATE</v>
      </c>
      <c r="P29" s="12">
        <f>Thresholds!$B$14*MIN(100-F29,40)/40+Thresholds!$B$15*MIN(H29,90)/90+Thresholds!$B$16*MIN(K29,100)/100+Thresholds!$B$17*MIN(I29,1600)/1600+Thresholds!$B$18*MIN(J29,5)/5+Thresholds!$B$19*MAX(0,G29-25)/25</f>
        <v>86.187361111111102</v>
      </c>
      <c r="Q29" s="11" t="str">
        <f>IF(P29&gt;Thresholds!$B$13,"High Risk",IF(P29&gt;Thresholds!$B$12,"Moderate Risk","Low Risk"))</f>
        <v>High Risk</v>
      </c>
      <c r="R29" s="11" t="str">
        <f>TRIM(IF(F29&lt;Thresholds!$B$6,"Low SOH; ","")&amp;IF(H29&gt;=Thresholds!$B$7,"High IR; ","")&amp;IF(K29&gt;=Thresholds!$B$9,"High Imbalance; ","")&amp;IF(L29&gt;Thresholds!$B$11,"Sustained Heat 24h; ","")&amp;IF(G29&gt;Thresholds!$B$10,"High Temp; ",""))</f>
        <v>High IR; High Imbalance;</v>
      </c>
    </row>
    <row r="30" spans="1:18" x14ac:dyDescent="0.3">
      <c r="A30" s="10" t="s">
        <v>101</v>
      </c>
      <c r="B30" s="10" t="s">
        <v>71</v>
      </c>
      <c r="C30" s="10">
        <v>48</v>
      </c>
      <c r="D30" s="10">
        <v>40</v>
      </c>
      <c r="E30" s="10">
        <v>69.900000000000006</v>
      </c>
      <c r="F30" s="10">
        <v>71.2</v>
      </c>
      <c r="G30" s="10">
        <v>32.299999999999997</v>
      </c>
      <c r="H30" s="10">
        <v>73.900000000000006</v>
      </c>
      <c r="I30" s="10">
        <v>954</v>
      </c>
      <c r="J30" s="10">
        <v>4.26</v>
      </c>
      <c r="K30" s="10">
        <v>63.5</v>
      </c>
      <c r="L30" s="10">
        <v>40.1</v>
      </c>
      <c r="M30" s="10">
        <v>0.95599999999999996</v>
      </c>
      <c r="N30" s="10" t="s">
        <v>72</v>
      </c>
      <c r="O30" s="11" t="str">
        <f>IF(OR(F30&lt;Thresholds!$B$6,H30&gt;=Thresholds!$B$7,K30&gt;=Thresholds!$B$9,L30&gt;Thresholds!$B$11,G30&gt;Thresholds!$B$10),"ISOLATE",IF(AND(F30&gt;=Thresholds!$B$5,K30&lt;=Thresholds!$B$8),"SAFE","DEGRADE/USE"))</f>
        <v>DEGRADE/USE</v>
      </c>
      <c r="P30" s="12">
        <f>Thresholds!$B$14*MIN(100-F30,40)/40+Thresholds!$B$15*MIN(H30,90)/90+Thresholds!$B$16*MIN(K30,100)/100+Thresholds!$B$17*MIN(I30,1600)/1600+Thresholds!$B$18*MIN(J30,5)/5+Thresholds!$B$19*MAX(0,G30-25)/25</f>
        <v>70.110277777777782</v>
      </c>
      <c r="Q30" s="11" t="str">
        <f>IF(P30&gt;Thresholds!$B$13,"High Risk",IF(P30&gt;Thresholds!$B$12,"Moderate Risk","Low Risk"))</f>
        <v>High Risk</v>
      </c>
      <c r="R30" s="11" t="str">
        <f>TRIM(IF(F30&lt;Thresholds!$B$6,"Low SOH; ","")&amp;IF(H30&gt;=Thresholds!$B$7,"High IR; ","")&amp;IF(K30&gt;=Thresholds!$B$9,"High Imbalance; ","")&amp;IF(L30&gt;Thresholds!$B$11,"Sustained Heat 24h; ","")&amp;IF(G30&gt;Thresholds!$B$10,"High Temp; ",""))</f>
        <v/>
      </c>
    </row>
    <row r="31" spans="1:18" x14ac:dyDescent="0.3">
      <c r="A31" s="10" t="s">
        <v>102</v>
      </c>
      <c r="B31" s="10" t="s">
        <v>71</v>
      </c>
      <c r="C31" s="10">
        <v>48</v>
      </c>
      <c r="D31" s="10">
        <v>40</v>
      </c>
      <c r="E31" s="10">
        <v>94.6</v>
      </c>
      <c r="F31" s="10">
        <v>67.099999999999994</v>
      </c>
      <c r="G31" s="10">
        <v>38.799999999999997</v>
      </c>
      <c r="H31" s="10">
        <v>77.5</v>
      </c>
      <c r="I31" s="10">
        <v>1156</v>
      </c>
      <c r="J31" s="10">
        <v>4.6100000000000003</v>
      </c>
      <c r="K31" s="10">
        <v>71.099999999999994</v>
      </c>
      <c r="L31" s="10">
        <v>40.700000000000003</v>
      </c>
      <c r="M31" s="10">
        <v>1.218</v>
      </c>
      <c r="N31" s="10" t="s">
        <v>72</v>
      </c>
      <c r="O31" s="11" t="str">
        <f>IF(OR(F31&lt;Thresholds!$B$6,H31&gt;=Thresholds!$B$7,K31&gt;=Thresholds!$B$9,L31&gt;Thresholds!$B$11,G31&gt;Thresholds!$B$10),"ISOLATE",IF(AND(F31&gt;=Thresholds!$B$5,K31&lt;=Thresholds!$B$8),"SAFE","DEGRADE/USE"))</f>
        <v>DEGRADE/USE</v>
      </c>
      <c r="P31" s="12">
        <f>Thresholds!$B$14*MIN(100-F31,40)/40+Thresholds!$B$15*MIN(H31,90)/90+Thresholds!$B$16*MIN(K31,100)/100+Thresholds!$B$17*MIN(I31,1600)/1600+Thresholds!$B$18*MIN(J31,5)/5+Thresholds!$B$19*MAX(0,G31-25)/25</f>
        <v>79.130277777777778</v>
      </c>
      <c r="Q31" s="11" t="str">
        <f>IF(P31&gt;Thresholds!$B$13,"High Risk",IF(P31&gt;Thresholds!$B$12,"Moderate Risk","Low Risk"))</f>
        <v>High Risk</v>
      </c>
      <c r="R31" s="11" t="str">
        <f>TRIM(IF(F31&lt;Thresholds!$B$6,"Low SOH; ","")&amp;IF(H31&gt;=Thresholds!$B$7,"High IR; ","")&amp;IF(K31&gt;=Thresholds!$B$9,"High Imbalance; ","")&amp;IF(L31&gt;Thresholds!$B$11,"Sustained Heat 24h; ","")&amp;IF(G31&gt;Thresholds!$B$10,"High Temp; ",""))</f>
        <v/>
      </c>
    </row>
    <row r="32" spans="1:18" x14ac:dyDescent="0.3">
      <c r="A32" s="10" t="s">
        <v>103</v>
      </c>
      <c r="B32" s="10" t="s">
        <v>71</v>
      </c>
      <c r="C32" s="10">
        <v>48</v>
      </c>
      <c r="D32" s="10">
        <v>40</v>
      </c>
      <c r="E32" s="10">
        <v>60.7</v>
      </c>
      <c r="F32" s="10">
        <v>88.2</v>
      </c>
      <c r="G32" s="10">
        <v>22.6</v>
      </c>
      <c r="H32" s="10">
        <v>55.7</v>
      </c>
      <c r="I32" s="10">
        <v>681</v>
      </c>
      <c r="J32" s="10">
        <v>1.1000000000000001</v>
      </c>
      <c r="K32" s="10">
        <v>37.299999999999997</v>
      </c>
      <c r="L32" s="10">
        <v>24.1</v>
      </c>
      <c r="M32" s="10">
        <v>1.028</v>
      </c>
      <c r="N32" s="10" t="s">
        <v>72</v>
      </c>
      <c r="O32" s="11" t="str">
        <f>IF(OR(F32&lt;Thresholds!$B$6,H32&gt;=Thresholds!$B$7,K32&gt;=Thresholds!$B$9,L32&gt;Thresholds!$B$11,G32&gt;Thresholds!$B$10),"ISOLATE",IF(AND(F32&gt;=Thresholds!$B$5,K32&lt;=Thresholds!$B$8),"SAFE","DEGRADE/USE"))</f>
        <v>SAFE</v>
      </c>
      <c r="P32" s="12">
        <f>Thresholds!$B$14*MIN(100-F32,40)/40+Thresholds!$B$15*MIN(H32,90)/90+Thresholds!$B$16*MIN(K32,100)/100+Thresholds!$B$17*MIN(I32,1600)/1600+Thresholds!$B$18*MIN(J32,5)/5+Thresholds!$B$19*MAX(0,G32-25)/25</f>
        <v>38.613472222222221</v>
      </c>
      <c r="Q32" s="11" t="str">
        <f>IF(P32&gt;Thresholds!$B$13,"High Risk",IF(P32&gt;Thresholds!$B$12,"Moderate Risk","Low Risk"))</f>
        <v>Moderate Risk</v>
      </c>
      <c r="R32" s="11" t="str">
        <f>TRIM(IF(F32&lt;Thresholds!$B$6,"Low SOH; ","")&amp;IF(H32&gt;=Thresholds!$B$7,"High IR; ","")&amp;IF(K32&gt;=Thresholds!$B$9,"High Imbalance; ","")&amp;IF(L32&gt;Thresholds!$B$11,"Sustained Heat 24h; ","")&amp;IF(G32&gt;Thresholds!$B$10,"High Temp; ",""))</f>
        <v/>
      </c>
    </row>
    <row r="33" spans="1:18" x14ac:dyDescent="0.3">
      <c r="A33" s="10" t="s">
        <v>104</v>
      </c>
      <c r="B33" s="10" t="s">
        <v>71</v>
      </c>
      <c r="C33" s="10">
        <v>48</v>
      </c>
      <c r="D33" s="10">
        <v>40</v>
      </c>
      <c r="E33" s="10">
        <v>61.8</v>
      </c>
      <c r="F33" s="10">
        <v>89.2</v>
      </c>
      <c r="G33" s="10">
        <v>38.200000000000003</v>
      </c>
      <c r="H33" s="10">
        <v>47.4</v>
      </c>
      <c r="I33" s="10">
        <v>70</v>
      </c>
      <c r="J33" s="10">
        <v>2.99</v>
      </c>
      <c r="K33" s="10">
        <v>23.4</v>
      </c>
      <c r="L33" s="10">
        <v>45.3</v>
      </c>
      <c r="M33" s="10">
        <v>1.0569999999999999</v>
      </c>
      <c r="N33" s="10" t="s">
        <v>72</v>
      </c>
      <c r="O33" s="11" t="str">
        <f>IF(OR(F33&lt;Thresholds!$B$6,H33&gt;=Thresholds!$B$7,K33&gt;=Thresholds!$B$9,L33&gt;Thresholds!$B$11,G33&gt;Thresholds!$B$10),"ISOLATE",IF(AND(F33&gt;=Thresholds!$B$5,K33&lt;=Thresholds!$B$8),"SAFE","DEGRADE/USE"))</f>
        <v>ISOLATE</v>
      </c>
      <c r="P33" s="12">
        <f>Thresholds!$B$14*MIN(100-F33,40)/40+Thresholds!$B$15*MIN(H33,90)/90+Thresholds!$B$16*MIN(K33,100)/100+Thresholds!$B$17*MIN(I33,1600)/1600+Thresholds!$B$18*MIN(J33,5)/5+Thresholds!$B$19*MAX(0,G33-25)/25</f>
        <v>33.364166666666662</v>
      </c>
      <c r="Q33" s="11" t="str">
        <f>IF(P33&gt;Thresholds!$B$13,"High Risk",IF(P33&gt;Thresholds!$B$12,"Moderate Risk","Low Risk"))</f>
        <v>Low Risk</v>
      </c>
      <c r="R33" s="11" t="str">
        <f>TRIM(IF(F33&lt;Thresholds!$B$6,"Low SOH; ","")&amp;IF(H33&gt;=Thresholds!$B$7,"High IR; ","")&amp;IF(K33&gt;=Thresholds!$B$9,"High Imbalance; ","")&amp;IF(L33&gt;Thresholds!$B$11,"Sustained Heat 24h; ","")&amp;IF(G33&gt;Thresholds!$B$10,"High Temp; ",""))</f>
        <v>Sustained Heat 24h;</v>
      </c>
    </row>
    <row r="34" spans="1:18" x14ac:dyDescent="0.3">
      <c r="A34" s="10" t="s">
        <v>105</v>
      </c>
      <c r="B34" s="10" t="s">
        <v>71</v>
      </c>
      <c r="C34" s="10">
        <v>48</v>
      </c>
      <c r="D34" s="10">
        <v>40</v>
      </c>
      <c r="E34" s="10">
        <v>52.4</v>
      </c>
      <c r="F34" s="10">
        <v>72.8</v>
      </c>
      <c r="G34" s="10">
        <v>28.9</v>
      </c>
      <c r="H34" s="10">
        <v>70.400000000000006</v>
      </c>
      <c r="I34" s="10">
        <v>962</v>
      </c>
      <c r="J34" s="10">
        <v>2.0099999999999998</v>
      </c>
      <c r="K34" s="10">
        <v>52.1</v>
      </c>
      <c r="L34" s="10">
        <v>36.1</v>
      </c>
      <c r="M34" s="10">
        <v>0.73299999999999998</v>
      </c>
      <c r="N34" s="10" t="s">
        <v>72</v>
      </c>
      <c r="O34" s="11" t="str">
        <f>IF(OR(F34&lt;Thresholds!$B$6,H34&gt;=Thresholds!$B$7,K34&gt;=Thresholds!$B$9,L34&gt;Thresholds!$B$11,G34&gt;Thresholds!$B$10),"ISOLATE",IF(AND(F34&gt;=Thresholds!$B$5,K34&lt;=Thresholds!$B$8),"SAFE","DEGRADE/USE"))</f>
        <v>DEGRADE/USE</v>
      </c>
      <c r="P34" s="12">
        <f>Thresholds!$B$14*MIN(100-F34,40)/40+Thresholds!$B$15*MIN(H34,90)/90+Thresholds!$B$16*MIN(K34,100)/100+Thresholds!$B$17*MIN(I34,1600)/1600+Thresholds!$B$18*MIN(J34,5)/5+Thresholds!$B$19*MAX(0,G34-25)/25</f>
        <v>62.578055555555565</v>
      </c>
      <c r="Q34" s="11" t="str">
        <f>IF(P34&gt;Thresholds!$B$13,"High Risk",IF(P34&gt;Thresholds!$B$12,"Moderate Risk","Low Risk"))</f>
        <v>Moderate Risk</v>
      </c>
      <c r="R34" s="11" t="str">
        <f>TRIM(IF(F34&lt;Thresholds!$B$6,"Low SOH; ","")&amp;IF(H34&gt;=Thresholds!$B$7,"High IR; ","")&amp;IF(K34&gt;=Thresholds!$B$9,"High Imbalance; ","")&amp;IF(L34&gt;Thresholds!$B$11,"Sustained Heat 24h; ","")&amp;IF(G34&gt;Thresholds!$B$10,"High Temp; ",""))</f>
        <v/>
      </c>
    </row>
    <row r="35" spans="1:18" x14ac:dyDescent="0.3">
      <c r="A35" s="10" t="s">
        <v>106</v>
      </c>
      <c r="B35" s="10" t="s">
        <v>71</v>
      </c>
      <c r="C35" s="10">
        <v>48</v>
      </c>
      <c r="D35" s="10">
        <v>40</v>
      </c>
      <c r="E35" s="10">
        <v>89.5</v>
      </c>
      <c r="F35" s="10">
        <v>78</v>
      </c>
      <c r="G35" s="10">
        <v>34</v>
      </c>
      <c r="H35" s="10">
        <v>60.5</v>
      </c>
      <c r="I35" s="10">
        <v>1283</v>
      </c>
      <c r="J35" s="10">
        <v>1.1200000000000001</v>
      </c>
      <c r="K35" s="10">
        <v>45.3</v>
      </c>
      <c r="L35" s="10">
        <v>36.9</v>
      </c>
      <c r="M35" s="10">
        <v>1.341</v>
      </c>
      <c r="N35" s="10" t="s">
        <v>72</v>
      </c>
      <c r="O35" s="11" t="str">
        <f>IF(OR(F35&lt;Thresholds!$B$6,H35&gt;=Thresholds!$B$7,K35&gt;=Thresholds!$B$9,L35&gt;Thresholds!$B$11,G35&gt;Thresholds!$B$10),"ISOLATE",IF(AND(F35&gt;=Thresholds!$B$5,K35&lt;=Thresholds!$B$8),"SAFE","DEGRADE/USE"))</f>
        <v>DEGRADE/USE</v>
      </c>
      <c r="P35" s="12">
        <f>Thresholds!$B$14*MIN(100-F35,40)/40+Thresholds!$B$15*MIN(H35,90)/90+Thresholds!$B$16*MIN(K35,100)/100+Thresholds!$B$17*MIN(I35,1600)/1600+Thresholds!$B$18*MIN(J35,5)/5+Thresholds!$B$19*MAX(0,G35-25)/25</f>
        <v>56.054305555555551</v>
      </c>
      <c r="Q35" s="11" t="str">
        <f>IF(P35&gt;Thresholds!$B$13,"High Risk",IF(P35&gt;Thresholds!$B$12,"Moderate Risk","Low Risk"))</f>
        <v>Moderate Risk</v>
      </c>
      <c r="R35" s="11" t="str">
        <f>TRIM(IF(F35&lt;Thresholds!$B$6,"Low SOH; ","")&amp;IF(H35&gt;=Thresholds!$B$7,"High IR; ","")&amp;IF(K35&gt;=Thresholds!$B$9,"High Imbalance; ","")&amp;IF(L35&gt;Thresholds!$B$11,"Sustained Heat 24h; ","")&amp;IF(G35&gt;Thresholds!$B$10,"High Temp; ",""))</f>
        <v/>
      </c>
    </row>
    <row r="36" spans="1:18" x14ac:dyDescent="0.3">
      <c r="A36" s="10" t="s">
        <v>107</v>
      </c>
      <c r="B36" s="10" t="s">
        <v>71</v>
      </c>
      <c r="C36" s="10">
        <v>48</v>
      </c>
      <c r="D36" s="10">
        <v>40</v>
      </c>
      <c r="E36" s="10">
        <v>93</v>
      </c>
      <c r="F36" s="10">
        <v>94</v>
      </c>
      <c r="G36" s="10">
        <v>51</v>
      </c>
      <c r="H36" s="10">
        <v>45</v>
      </c>
      <c r="I36" s="10">
        <v>209</v>
      </c>
      <c r="J36" s="10">
        <v>0.86</v>
      </c>
      <c r="K36" s="10">
        <v>6.1</v>
      </c>
      <c r="L36" s="10">
        <v>37.9</v>
      </c>
      <c r="M36" s="10">
        <v>1.419</v>
      </c>
      <c r="N36" s="10" t="s">
        <v>80</v>
      </c>
      <c r="O36" s="11" t="str">
        <f>IF(OR(F36&lt;Thresholds!$B$6,H36&gt;=Thresholds!$B$7,K36&gt;=Thresholds!$B$9,L36&gt;Thresholds!$B$11,G36&gt;Thresholds!$B$10),"ISOLATE",IF(AND(F36&gt;=Thresholds!$B$5,K36&lt;=Thresholds!$B$8),"SAFE","DEGRADE/USE"))</f>
        <v>ISOLATE</v>
      </c>
      <c r="P36" s="12">
        <f>Thresholds!$B$14*MIN(100-F36,40)/40+Thresholds!$B$15*MIN(H36,90)/90+Thresholds!$B$16*MIN(K36,100)/100+Thresholds!$B$17*MIN(I36,1600)/1600+Thresholds!$B$18*MIN(J36,5)/5+Thresholds!$B$19*MAX(0,G36-25)/25</f>
        <v>26.336249999999996</v>
      </c>
      <c r="Q36" s="11" t="str">
        <f>IF(P36&gt;Thresholds!$B$13,"High Risk",IF(P36&gt;Thresholds!$B$12,"Moderate Risk","Low Risk"))</f>
        <v>Low Risk</v>
      </c>
      <c r="R36" s="11" t="str">
        <f>TRIM(IF(F36&lt;Thresholds!$B$6,"Low SOH; ","")&amp;IF(H36&gt;=Thresholds!$B$7,"High IR; ","")&amp;IF(K36&gt;=Thresholds!$B$9,"High Imbalance; ","")&amp;IF(L36&gt;Thresholds!$B$11,"Sustained Heat 24h; ","")&amp;IF(G36&gt;Thresholds!$B$10,"High Temp; ",""))</f>
        <v>High Temp;</v>
      </c>
    </row>
    <row r="37" spans="1:18" x14ac:dyDescent="0.3">
      <c r="A37" s="10" t="s">
        <v>108</v>
      </c>
      <c r="B37" s="10" t="s">
        <v>71</v>
      </c>
      <c r="C37" s="10">
        <v>48</v>
      </c>
      <c r="D37" s="10">
        <v>40</v>
      </c>
      <c r="E37" s="10">
        <v>77.5</v>
      </c>
      <c r="F37" s="10">
        <v>65.2</v>
      </c>
      <c r="G37" s="10">
        <v>31.7</v>
      </c>
      <c r="H37" s="10">
        <v>74.5</v>
      </c>
      <c r="I37" s="10">
        <v>1445</v>
      </c>
      <c r="J37" s="10">
        <v>4.37</v>
      </c>
      <c r="K37" s="10">
        <v>69.2</v>
      </c>
      <c r="L37" s="10">
        <v>37.4</v>
      </c>
      <c r="M37" s="10">
        <v>0.97099999999999997</v>
      </c>
      <c r="N37" s="10" t="s">
        <v>72</v>
      </c>
      <c r="O37" s="11" t="str">
        <f>IF(OR(F37&lt;Thresholds!$B$6,H37&gt;=Thresholds!$B$7,K37&gt;=Thresholds!$B$9,L37&gt;Thresholds!$B$11,G37&gt;Thresholds!$B$10),"ISOLATE",IF(AND(F37&gt;=Thresholds!$B$5,K37&lt;=Thresholds!$B$8),"SAFE","DEGRADE/USE"))</f>
        <v>DEGRADE/USE</v>
      </c>
      <c r="P37" s="12">
        <f>Thresholds!$B$14*MIN(100-F37,40)/40+Thresholds!$B$15*MIN(H37,90)/90+Thresholds!$B$16*MIN(K37,100)/100+Thresholds!$B$17*MIN(I37,1600)/1600+Thresholds!$B$18*MIN(J37,5)/5+Thresholds!$B$19*MAX(0,G37-25)/25</f>
        <v>79.725694444444457</v>
      </c>
      <c r="Q37" s="11" t="str">
        <f>IF(P37&gt;Thresholds!$B$13,"High Risk",IF(P37&gt;Thresholds!$B$12,"Moderate Risk","Low Risk"))</f>
        <v>High Risk</v>
      </c>
      <c r="R37" s="11" t="str">
        <f>TRIM(IF(F37&lt;Thresholds!$B$6,"Low SOH; ","")&amp;IF(H37&gt;=Thresholds!$B$7,"High IR; ","")&amp;IF(K37&gt;=Thresholds!$B$9,"High Imbalance; ","")&amp;IF(L37&gt;Thresholds!$B$11,"Sustained Heat 24h; ","")&amp;IF(G37&gt;Thresholds!$B$10,"High Temp; ",""))</f>
        <v/>
      </c>
    </row>
    <row r="38" spans="1:18" x14ac:dyDescent="0.3">
      <c r="A38" s="10" t="s">
        <v>109</v>
      </c>
      <c r="B38" s="10" t="s">
        <v>71</v>
      </c>
      <c r="C38" s="10">
        <v>48</v>
      </c>
      <c r="D38" s="10">
        <v>40</v>
      </c>
      <c r="E38" s="10">
        <v>76.3</v>
      </c>
      <c r="F38" s="10">
        <v>76.599999999999994</v>
      </c>
      <c r="G38" s="10">
        <v>30.3</v>
      </c>
      <c r="H38" s="10">
        <v>65.8</v>
      </c>
      <c r="I38" s="10">
        <v>887</v>
      </c>
      <c r="J38" s="10">
        <v>3.26</v>
      </c>
      <c r="K38" s="10">
        <v>51.3</v>
      </c>
      <c r="L38" s="10">
        <v>35.200000000000003</v>
      </c>
      <c r="M38" s="10">
        <v>1.123</v>
      </c>
      <c r="N38" s="10" t="s">
        <v>72</v>
      </c>
      <c r="O38" s="11" t="str">
        <f>IF(OR(F38&lt;Thresholds!$B$6,H38&gt;=Thresholds!$B$7,K38&gt;=Thresholds!$B$9,L38&gt;Thresholds!$B$11,G38&gt;Thresholds!$B$10),"ISOLATE",IF(AND(F38&gt;=Thresholds!$B$5,K38&lt;=Thresholds!$B$8),"SAFE","DEGRADE/USE"))</f>
        <v>DEGRADE/USE</v>
      </c>
      <c r="P38" s="12">
        <f>Thresholds!$B$14*MIN(100-F38,40)/40+Thresholds!$B$15*MIN(H38,90)/90+Thresholds!$B$16*MIN(K38,100)/100+Thresholds!$B$17*MIN(I38,1600)/1600+Thresholds!$B$18*MIN(J38,5)/5+Thresholds!$B$19*MAX(0,G38-25)/25</f>
        <v>58.876527777777781</v>
      </c>
      <c r="Q38" s="11" t="str">
        <f>IF(P38&gt;Thresholds!$B$13,"High Risk",IF(P38&gt;Thresholds!$B$12,"Moderate Risk","Low Risk"))</f>
        <v>Moderate Risk</v>
      </c>
      <c r="R38" s="11" t="str">
        <f>TRIM(IF(F38&lt;Thresholds!$B$6,"Low SOH; ","")&amp;IF(H38&gt;=Thresholds!$B$7,"High IR; ","")&amp;IF(K38&gt;=Thresholds!$B$9,"High Imbalance; ","")&amp;IF(L38&gt;Thresholds!$B$11,"Sustained Heat 24h; ","")&amp;IF(G38&gt;Thresholds!$B$10,"High Temp; ",""))</f>
        <v/>
      </c>
    </row>
    <row r="39" spans="1:18" x14ac:dyDescent="0.3">
      <c r="A39" s="10" t="s">
        <v>110</v>
      </c>
      <c r="B39" s="10" t="s">
        <v>71</v>
      </c>
      <c r="C39" s="10">
        <v>48</v>
      </c>
      <c r="D39" s="10">
        <v>40</v>
      </c>
      <c r="E39" s="10">
        <v>50</v>
      </c>
      <c r="F39" s="10">
        <v>79.5</v>
      </c>
      <c r="G39" s="10">
        <v>18</v>
      </c>
      <c r="H39" s="10">
        <v>59.1</v>
      </c>
      <c r="I39" s="10">
        <v>857</v>
      </c>
      <c r="J39" s="10">
        <v>3.6</v>
      </c>
      <c r="K39" s="10">
        <v>38.5</v>
      </c>
      <c r="L39" s="10">
        <v>23.3</v>
      </c>
      <c r="M39" s="10">
        <v>0.76300000000000001</v>
      </c>
      <c r="N39" s="10" t="s">
        <v>72</v>
      </c>
      <c r="O39" s="11" t="str">
        <f>IF(OR(F39&lt;Thresholds!$B$6,H39&gt;=Thresholds!$B$7,K39&gt;=Thresholds!$B$9,L39&gt;Thresholds!$B$11,G39&gt;Thresholds!$B$10),"ISOLATE",IF(AND(F39&gt;=Thresholds!$B$5,K39&lt;=Thresholds!$B$8),"SAFE","DEGRADE/USE"))</f>
        <v>DEGRADE/USE</v>
      </c>
      <c r="P39" s="12">
        <f>Thresholds!$B$14*MIN(100-F39,40)/40+Thresholds!$B$15*MIN(H39,90)/90+Thresholds!$B$16*MIN(K39,100)/100+Thresholds!$B$17*MIN(I39,1600)/1600+Thresholds!$B$18*MIN(J39,5)/5+Thresholds!$B$19*MAX(0,G39-25)/25</f>
        <v>51.010416666666679</v>
      </c>
      <c r="Q39" s="11" t="str">
        <f>IF(P39&gt;Thresholds!$B$13,"High Risk",IF(P39&gt;Thresholds!$B$12,"Moderate Risk","Low Risk"))</f>
        <v>Moderate Risk</v>
      </c>
      <c r="R39" s="11" t="str">
        <f>TRIM(IF(F39&lt;Thresholds!$B$6,"Low SOH; ","")&amp;IF(H39&gt;=Thresholds!$B$7,"High IR; ","")&amp;IF(K39&gt;=Thresholds!$B$9,"High Imbalance; ","")&amp;IF(L39&gt;Thresholds!$B$11,"Sustained Heat 24h; ","")&amp;IF(G39&gt;Thresholds!$B$10,"High Temp; ",""))</f>
        <v/>
      </c>
    </row>
    <row r="40" spans="1:18" x14ac:dyDescent="0.3">
      <c r="A40" s="10" t="s">
        <v>111</v>
      </c>
      <c r="B40" s="10" t="s">
        <v>71</v>
      </c>
      <c r="C40" s="10">
        <v>48</v>
      </c>
      <c r="D40" s="10">
        <v>40</v>
      </c>
      <c r="E40" s="10">
        <v>82</v>
      </c>
      <c r="F40" s="10">
        <v>67.5</v>
      </c>
      <c r="G40" s="10">
        <v>25.8</v>
      </c>
      <c r="H40" s="10">
        <v>70.5</v>
      </c>
      <c r="I40" s="10">
        <v>1371</v>
      </c>
      <c r="J40" s="10">
        <v>4.4800000000000004</v>
      </c>
      <c r="K40" s="10">
        <v>61.8</v>
      </c>
      <c r="L40" s="10">
        <v>26.3</v>
      </c>
      <c r="M40" s="10">
        <v>1.0620000000000001</v>
      </c>
      <c r="N40" s="10" t="s">
        <v>72</v>
      </c>
      <c r="O40" s="11" t="str">
        <f>IF(OR(F40&lt;Thresholds!$B$6,H40&gt;=Thresholds!$B$7,K40&gt;=Thresholds!$B$9,L40&gt;Thresholds!$B$11,G40&gt;Thresholds!$B$10),"ISOLATE",IF(AND(F40&gt;=Thresholds!$B$5,K40&lt;=Thresholds!$B$8),"SAFE","DEGRADE/USE"))</f>
        <v>DEGRADE/USE</v>
      </c>
      <c r="P40" s="12">
        <f>Thresholds!$B$14*MIN(100-F40,40)/40+Thresholds!$B$15*MIN(H40,90)/90+Thresholds!$B$16*MIN(K40,100)/100+Thresholds!$B$17*MIN(I40,1600)/1600+Thresholds!$B$18*MIN(J40,5)/5+Thresholds!$B$19*MAX(0,G40-25)/25</f>
        <v>73.589583333333323</v>
      </c>
      <c r="Q40" s="11" t="str">
        <f>IF(P40&gt;Thresholds!$B$13,"High Risk",IF(P40&gt;Thresholds!$B$12,"Moderate Risk","Low Risk"))</f>
        <v>High Risk</v>
      </c>
      <c r="R40" s="11" t="str">
        <f>TRIM(IF(F40&lt;Thresholds!$B$6,"Low SOH; ","")&amp;IF(H40&gt;=Thresholds!$B$7,"High IR; ","")&amp;IF(K40&gt;=Thresholds!$B$9,"High Imbalance; ","")&amp;IF(L40&gt;Thresholds!$B$11,"Sustained Heat 24h; ","")&amp;IF(G40&gt;Thresholds!$B$10,"High Temp; ",""))</f>
        <v/>
      </c>
    </row>
    <row r="41" spans="1:18" x14ac:dyDescent="0.3">
      <c r="A41" s="10" t="s">
        <v>112</v>
      </c>
      <c r="B41" s="10" t="s">
        <v>71</v>
      </c>
      <c r="C41" s="10">
        <v>48</v>
      </c>
      <c r="D41" s="10">
        <v>40</v>
      </c>
      <c r="E41" s="10">
        <v>78.400000000000006</v>
      </c>
      <c r="F41" s="10">
        <v>91.2</v>
      </c>
      <c r="G41" s="10">
        <v>27.3</v>
      </c>
      <c r="H41" s="10">
        <v>51.6</v>
      </c>
      <c r="I41" s="10">
        <v>347</v>
      </c>
      <c r="J41" s="10">
        <v>1.1100000000000001</v>
      </c>
      <c r="K41" s="10">
        <v>21.6</v>
      </c>
      <c r="L41" s="10">
        <v>34.700000000000003</v>
      </c>
      <c r="M41" s="10">
        <v>1.373</v>
      </c>
      <c r="N41" s="10" t="s">
        <v>72</v>
      </c>
      <c r="O41" s="11" t="str">
        <f>IF(OR(F41&lt;Thresholds!$B$6,H41&gt;=Thresholds!$B$7,K41&gt;=Thresholds!$B$9,L41&gt;Thresholds!$B$11,G41&gt;Thresholds!$B$10),"ISOLATE",IF(AND(F41&gt;=Thresholds!$B$5,K41&lt;=Thresholds!$B$8),"SAFE","DEGRADE/USE"))</f>
        <v>SAFE</v>
      </c>
      <c r="P41" s="12">
        <f>Thresholds!$B$14*MIN(100-F41,40)/40+Thresholds!$B$15*MIN(H41,90)/90+Thresholds!$B$16*MIN(K41,100)/100+Thresholds!$B$17*MIN(I41,1600)/1600+Thresholds!$B$18*MIN(J41,5)/5+Thresholds!$B$19*MAX(0,G41-25)/25</f>
        <v>30.092083333333331</v>
      </c>
      <c r="Q41" s="11" t="str">
        <f>IF(P41&gt;Thresholds!$B$13,"High Risk",IF(P41&gt;Thresholds!$B$12,"Moderate Risk","Low Risk"))</f>
        <v>Low Risk</v>
      </c>
      <c r="R41" s="11" t="str">
        <f>TRIM(IF(F41&lt;Thresholds!$B$6,"Low SOH; ","")&amp;IF(H41&gt;=Thresholds!$B$7,"High IR; ","")&amp;IF(K41&gt;=Thresholds!$B$9,"High Imbalance; ","")&amp;IF(L41&gt;Thresholds!$B$11,"Sustained Heat 24h; ","")&amp;IF(G41&gt;Thresholds!$B$10,"High Temp; ",""))</f>
        <v/>
      </c>
    </row>
    <row r="42" spans="1:18" x14ac:dyDescent="0.3">
      <c r="A42" s="10" t="s">
        <v>113</v>
      </c>
      <c r="B42" s="10" t="s">
        <v>71</v>
      </c>
      <c r="C42" s="10">
        <v>48</v>
      </c>
      <c r="D42" s="10">
        <v>40</v>
      </c>
      <c r="E42" s="10">
        <v>100</v>
      </c>
      <c r="F42" s="10">
        <v>60.3</v>
      </c>
      <c r="G42" s="10">
        <v>24.7</v>
      </c>
      <c r="H42" s="10">
        <v>89.9</v>
      </c>
      <c r="I42" s="10">
        <v>1551</v>
      </c>
      <c r="J42" s="10">
        <v>4.97</v>
      </c>
      <c r="K42" s="10">
        <v>93.4</v>
      </c>
      <c r="L42" s="10">
        <v>27.2</v>
      </c>
      <c r="M42" s="10">
        <v>1.1579999999999999</v>
      </c>
      <c r="N42" s="10" t="s">
        <v>80</v>
      </c>
      <c r="O42" s="11" t="str">
        <f>IF(OR(F42&lt;Thresholds!$B$6,H42&gt;=Thresholds!$B$7,K42&gt;=Thresholds!$B$9,L42&gt;Thresholds!$B$11,G42&gt;Thresholds!$B$10),"ISOLATE",IF(AND(F42&gt;=Thresholds!$B$5,K42&lt;=Thresholds!$B$8),"SAFE","DEGRADE/USE"))</f>
        <v>ISOLATE</v>
      </c>
      <c r="P42" s="12">
        <f>Thresholds!$B$14*MIN(100-F42,40)/40+Thresholds!$B$15*MIN(H42,90)/90+Thresholds!$B$16*MIN(K42,100)/100+Thresholds!$B$17*MIN(I42,1600)/1600+Thresholds!$B$18*MIN(J42,5)/5+Thresholds!$B$19*MAX(0,G42-25)/25</f>
        <v>93.053472222222211</v>
      </c>
      <c r="Q42" s="11" t="str">
        <f>IF(P42&gt;Thresholds!$B$13,"High Risk",IF(P42&gt;Thresholds!$B$12,"Moderate Risk","Low Risk"))</f>
        <v>High Risk</v>
      </c>
      <c r="R42" s="11" t="str">
        <f>TRIM(IF(F42&lt;Thresholds!$B$6,"Low SOH; ","")&amp;IF(H42&gt;=Thresholds!$B$7,"High IR; ","")&amp;IF(K42&gt;=Thresholds!$B$9,"High Imbalance; ","")&amp;IF(L42&gt;Thresholds!$B$11,"Sustained Heat 24h; ","")&amp;IF(G42&gt;Thresholds!$B$10,"High Temp; ",""))</f>
        <v>High IR; High Imbalance;</v>
      </c>
    </row>
    <row r="43" spans="1:18" x14ac:dyDescent="0.3">
      <c r="A43" s="10" t="s">
        <v>114</v>
      </c>
      <c r="B43" s="10" t="s">
        <v>71</v>
      </c>
      <c r="C43" s="10">
        <v>48</v>
      </c>
      <c r="D43" s="10">
        <v>40</v>
      </c>
      <c r="E43" s="10">
        <v>80.5</v>
      </c>
      <c r="F43" s="10">
        <v>92.4</v>
      </c>
      <c r="G43" s="10">
        <v>22</v>
      </c>
      <c r="H43" s="10">
        <v>50.3</v>
      </c>
      <c r="I43" s="10">
        <v>322</v>
      </c>
      <c r="J43" s="10">
        <v>2.56</v>
      </c>
      <c r="K43" s="10">
        <v>37.9</v>
      </c>
      <c r="L43" s="10">
        <v>25.5</v>
      </c>
      <c r="M43" s="10">
        <v>1.4279999999999999</v>
      </c>
      <c r="N43" s="10" t="s">
        <v>72</v>
      </c>
      <c r="O43" s="11" t="str">
        <f>IF(OR(F43&lt;Thresholds!$B$6,H43&gt;=Thresholds!$B$7,K43&gt;=Thresholds!$B$9,L43&gt;Thresholds!$B$11,G43&gt;Thresholds!$B$10),"ISOLATE",IF(AND(F43&gt;=Thresholds!$B$5,K43&lt;=Thresholds!$B$8),"SAFE","DEGRADE/USE"))</f>
        <v>SAFE</v>
      </c>
      <c r="P43" s="12">
        <f>Thresholds!$B$14*MIN(100-F43,40)/40+Thresholds!$B$15*MIN(H43,90)/90+Thresholds!$B$16*MIN(K43,100)/100+Thresholds!$B$17*MIN(I43,1600)/1600+Thresholds!$B$18*MIN(J43,5)/5+Thresholds!$B$19*MAX(0,G43-25)/25</f>
        <v>32.774722222222216</v>
      </c>
      <c r="Q43" s="11" t="str">
        <f>IF(P43&gt;Thresholds!$B$13,"High Risk",IF(P43&gt;Thresholds!$B$12,"Moderate Risk","Low Risk"))</f>
        <v>Low Risk</v>
      </c>
      <c r="R43" s="11" t="str">
        <f>TRIM(IF(F43&lt;Thresholds!$B$6,"Low SOH; ","")&amp;IF(H43&gt;=Thresholds!$B$7,"High IR; ","")&amp;IF(K43&gt;=Thresholds!$B$9,"High Imbalance; ","")&amp;IF(L43&gt;Thresholds!$B$11,"Sustained Heat 24h; ","")&amp;IF(G43&gt;Thresholds!$B$10,"High Temp; ",""))</f>
        <v/>
      </c>
    </row>
    <row r="44" spans="1:18" x14ac:dyDescent="0.3">
      <c r="A44" s="10" t="s">
        <v>115</v>
      </c>
      <c r="B44" s="10" t="s">
        <v>71</v>
      </c>
      <c r="C44" s="10">
        <v>48</v>
      </c>
      <c r="D44" s="10">
        <v>40</v>
      </c>
      <c r="E44" s="10">
        <v>56.6</v>
      </c>
      <c r="F44" s="10">
        <v>79.2</v>
      </c>
      <c r="G44" s="10">
        <v>33.9</v>
      </c>
      <c r="H44" s="10">
        <v>65.5</v>
      </c>
      <c r="I44" s="10">
        <v>1196</v>
      </c>
      <c r="J44" s="10">
        <v>1.85</v>
      </c>
      <c r="K44" s="10">
        <v>41.2</v>
      </c>
      <c r="L44" s="10">
        <v>38.200000000000003</v>
      </c>
      <c r="M44" s="10">
        <v>0.86099999999999999</v>
      </c>
      <c r="N44" s="10" t="s">
        <v>72</v>
      </c>
      <c r="O44" s="11" t="str">
        <f>IF(OR(F44&lt;Thresholds!$B$6,H44&gt;=Thresholds!$B$7,K44&gt;=Thresholds!$B$9,L44&gt;Thresholds!$B$11,G44&gt;Thresholds!$B$10),"ISOLATE",IF(AND(F44&gt;=Thresholds!$B$5,K44&lt;=Thresholds!$B$8),"SAFE","DEGRADE/USE"))</f>
        <v>DEGRADE/USE</v>
      </c>
      <c r="P44" s="12">
        <f>Thresholds!$B$14*MIN(100-F44,40)/40+Thresholds!$B$15*MIN(H44,90)/90+Thresholds!$B$16*MIN(K44,100)/100+Thresholds!$B$17*MIN(I44,1600)/1600+Thresholds!$B$18*MIN(J44,5)/5+Thresholds!$B$19*MAX(0,G44-25)/25</f>
        <v>55.739444444444445</v>
      </c>
      <c r="Q44" s="11" t="str">
        <f>IF(P44&gt;Thresholds!$B$13,"High Risk",IF(P44&gt;Thresholds!$B$12,"Moderate Risk","Low Risk"))</f>
        <v>Moderate Risk</v>
      </c>
      <c r="R44" s="11" t="str">
        <f>TRIM(IF(F44&lt;Thresholds!$B$6,"Low SOH; ","")&amp;IF(H44&gt;=Thresholds!$B$7,"High IR; ","")&amp;IF(K44&gt;=Thresholds!$B$9,"High Imbalance; ","")&amp;IF(L44&gt;Thresholds!$B$11,"Sustained Heat 24h; ","")&amp;IF(G44&gt;Thresholds!$B$10,"High Temp; ",""))</f>
        <v/>
      </c>
    </row>
    <row r="45" spans="1:18" x14ac:dyDescent="0.3">
      <c r="A45" s="10" t="s">
        <v>116</v>
      </c>
      <c r="B45" s="10" t="s">
        <v>71</v>
      </c>
      <c r="C45" s="10">
        <v>48</v>
      </c>
      <c r="D45" s="10">
        <v>40</v>
      </c>
      <c r="E45" s="10">
        <v>66.099999999999994</v>
      </c>
      <c r="F45" s="10">
        <v>67.599999999999994</v>
      </c>
      <c r="G45" s="10">
        <v>26.1</v>
      </c>
      <c r="H45" s="10">
        <v>68.7</v>
      </c>
      <c r="I45" s="10">
        <v>1358</v>
      </c>
      <c r="J45" s="10">
        <v>4.7</v>
      </c>
      <c r="K45" s="10">
        <v>80</v>
      </c>
      <c r="L45" s="10">
        <v>28.2</v>
      </c>
      <c r="M45" s="10">
        <v>0.85799999999999998</v>
      </c>
      <c r="N45" s="10" t="s">
        <v>72</v>
      </c>
      <c r="O45" s="11" t="str">
        <f>IF(OR(F45&lt;Thresholds!$B$6,H45&gt;=Thresholds!$B$7,K45&gt;=Thresholds!$B$9,L45&gt;Thresholds!$B$11,G45&gt;Thresholds!$B$10),"ISOLATE",IF(AND(F45&gt;=Thresholds!$B$5,K45&lt;=Thresholds!$B$8),"SAFE","DEGRADE/USE"))</f>
        <v>ISOLATE</v>
      </c>
      <c r="P45" s="12">
        <f>Thresholds!$B$14*MIN(100-F45,40)/40+Thresholds!$B$15*MIN(H45,90)/90+Thresholds!$B$16*MIN(K45,100)/100+Thresholds!$B$17*MIN(I45,1600)/1600+Thresholds!$B$18*MIN(J45,5)/5+Thresholds!$B$19*MAX(0,G45-25)/25</f>
        <v>76.840833333333336</v>
      </c>
      <c r="Q45" s="11" t="str">
        <f>IF(P45&gt;Thresholds!$B$13,"High Risk",IF(P45&gt;Thresholds!$B$12,"Moderate Risk","Low Risk"))</f>
        <v>High Risk</v>
      </c>
      <c r="R45" s="11" t="str">
        <f>TRIM(IF(F45&lt;Thresholds!$B$6,"Low SOH; ","")&amp;IF(H45&gt;=Thresholds!$B$7,"High IR; ","")&amp;IF(K45&gt;=Thresholds!$B$9,"High Imbalance; ","")&amp;IF(L45&gt;Thresholds!$B$11,"Sustained Heat 24h; ","")&amp;IF(G45&gt;Thresholds!$B$10,"High Temp; ",""))</f>
        <v>High Imbalance;</v>
      </c>
    </row>
    <row r="46" spans="1:18" x14ac:dyDescent="0.3">
      <c r="A46" s="10" t="s">
        <v>117</v>
      </c>
      <c r="B46" s="10" t="s">
        <v>71</v>
      </c>
      <c r="C46" s="10">
        <v>48</v>
      </c>
      <c r="D46" s="10">
        <v>40</v>
      </c>
      <c r="E46" s="10">
        <v>100</v>
      </c>
      <c r="F46" s="10">
        <v>87.2</v>
      </c>
      <c r="G46" s="10">
        <v>31.8</v>
      </c>
      <c r="H46" s="10">
        <v>55.6</v>
      </c>
      <c r="I46" s="10">
        <v>1058</v>
      </c>
      <c r="J46" s="10">
        <v>1.45</v>
      </c>
      <c r="K46" s="10">
        <v>34</v>
      </c>
      <c r="L46" s="10">
        <v>33.1</v>
      </c>
      <c r="M46" s="10">
        <v>1.6739999999999999</v>
      </c>
      <c r="N46" s="10" t="s">
        <v>72</v>
      </c>
      <c r="O46" s="11" t="str">
        <f>IF(OR(F46&lt;Thresholds!$B$6,H46&gt;=Thresholds!$B$7,K46&gt;=Thresholds!$B$9,L46&gt;Thresholds!$B$11,G46&gt;Thresholds!$B$10),"ISOLATE",IF(AND(F46&gt;=Thresholds!$B$5,K46&lt;=Thresholds!$B$8),"SAFE","DEGRADE/USE"))</f>
        <v>SAFE</v>
      </c>
      <c r="P46" s="12">
        <f>Thresholds!$B$14*MIN(100-F46,40)/40+Thresholds!$B$15*MIN(H46,90)/90+Thresholds!$B$16*MIN(K46,100)/100+Thresholds!$B$17*MIN(I46,1600)/1600+Thresholds!$B$18*MIN(J46,5)/5+Thresholds!$B$19*MAX(0,G46-25)/25</f>
        <v>42.866944444444442</v>
      </c>
      <c r="Q46" s="11" t="str">
        <f>IF(P46&gt;Thresholds!$B$13,"High Risk",IF(P46&gt;Thresholds!$B$12,"Moderate Risk","Low Risk"))</f>
        <v>Moderate Risk</v>
      </c>
      <c r="R46" s="11" t="str">
        <f>TRIM(IF(F46&lt;Thresholds!$B$6,"Low SOH; ","")&amp;IF(H46&gt;=Thresholds!$B$7,"High IR; ","")&amp;IF(K46&gt;=Thresholds!$B$9,"High Imbalance; ","")&amp;IF(L46&gt;Thresholds!$B$11,"Sustained Heat 24h; ","")&amp;IF(G46&gt;Thresholds!$B$10,"High Temp; ",""))</f>
        <v/>
      </c>
    </row>
    <row r="47" spans="1:18" x14ac:dyDescent="0.3">
      <c r="A47" s="10" t="s">
        <v>118</v>
      </c>
      <c r="B47" s="10" t="s">
        <v>71</v>
      </c>
      <c r="C47" s="10">
        <v>48</v>
      </c>
      <c r="D47" s="10">
        <v>40</v>
      </c>
      <c r="E47" s="10">
        <v>48.4</v>
      </c>
      <c r="F47" s="10">
        <v>88.9</v>
      </c>
      <c r="G47" s="10">
        <v>37.200000000000003</v>
      </c>
      <c r="H47" s="10">
        <v>59.2</v>
      </c>
      <c r="I47" s="10">
        <v>176</v>
      </c>
      <c r="J47" s="10">
        <v>4.32</v>
      </c>
      <c r="K47" s="10">
        <v>21.8</v>
      </c>
      <c r="L47" s="10">
        <v>43.9</v>
      </c>
      <c r="M47" s="10">
        <v>0.82699999999999996</v>
      </c>
      <c r="N47" s="10" t="s">
        <v>72</v>
      </c>
      <c r="O47" s="11" t="str">
        <f>IF(OR(F47&lt;Thresholds!$B$6,H47&gt;=Thresholds!$B$7,K47&gt;=Thresholds!$B$9,L47&gt;Thresholds!$B$11,G47&gt;Thresholds!$B$10),"ISOLATE",IF(AND(F47&gt;=Thresholds!$B$5,K47&lt;=Thresholds!$B$8),"SAFE","DEGRADE/USE"))</f>
        <v>SAFE</v>
      </c>
      <c r="P47" s="12">
        <f>Thresholds!$B$14*MIN(100-F47,40)/40+Thresholds!$B$15*MIN(H47,90)/90+Thresholds!$B$16*MIN(K47,100)/100+Thresholds!$B$17*MIN(I47,1600)/1600+Thresholds!$B$18*MIN(J47,5)/5+Thresholds!$B$19*MAX(0,G47-25)/25</f>
        <v>38.376944444444433</v>
      </c>
      <c r="Q47" s="11" t="str">
        <f>IF(P47&gt;Thresholds!$B$13,"High Risk",IF(P47&gt;Thresholds!$B$12,"Moderate Risk","Low Risk"))</f>
        <v>Moderate Risk</v>
      </c>
      <c r="R47" s="11" t="str">
        <f>TRIM(IF(F47&lt;Thresholds!$B$6,"Low SOH; ","")&amp;IF(H47&gt;=Thresholds!$B$7,"High IR; ","")&amp;IF(K47&gt;=Thresholds!$B$9,"High Imbalance; ","")&amp;IF(L47&gt;Thresholds!$B$11,"Sustained Heat 24h; ","")&amp;IF(G47&gt;Thresholds!$B$10,"High Temp; ",""))</f>
        <v/>
      </c>
    </row>
    <row r="48" spans="1:18" x14ac:dyDescent="0.3">
      <c r="A48" s="10" t="s">
        <v>119</v>
      </c>
      <c r="B48" s="10" t="s">
        <v>71</v>
      </c>
      <c r="C48" s="10">
        <v>48</v>
      </c>
      <c r="D48" s="10">
        <v>40</v>
      </c>
      <c r="E48" s="10">
        <v>45.3</v>
      </c>
      <c r="F48" s="10">
        <v>78.5</v>
      </c>
      <c r="G48" s="10">
        <v>25.8</v>
      </c>
      <c r="H48" s="10">
        <v>69.5</v>
      </c>
      <c r="I48" s="10">
        <v>1119</v>
      </c>
      <c r="J48" s="10">
        <v>0.98</v>
      </c>
      <c r="K48" s="10">
        <v>47.8</v>
      </c>
      <c r="L48" s="10">
        <v>31.8</v>
      </c>
      <c r="M48" s="10">
        <v>0.68200000000000005</v>
      </c>
      <c r="N48" s="10" t="s">
        <v>72</v>
      </c>
      <c r="O48" s="11" t="str">
        <f>IF(OR(F48&lt;Thresholds!$B$6,H48&gt;=Thresholds!$B$7,K48&gt;=Thresholds!$B$9,L48&gt;Thresholds!$B$11,G48&gt;Thresholds!$B$10),"ISOLATE",IF(AND(F48&gt;=Thresholds!$B$5,K48&lt;=Thresholds!$B$8),"SAFE","DEGRADE/USE"))</f>
        <v>DEGRADE/USE</v>
      </c>
      <c r="P48" s="12">
        <f>Thresholds!$B$14*MIN(100-F48,40)/40+Thresholds!$B$15*MIN(H48,90)/90+Thresholds!$B$16*MIN(K48,100)/100+Thresholds!$B$17*MIN(I48,1600)/1600+Thresholds!$B$18*MIN(J48,5)/5+Thresholds!$B$19*MAX(0,G48-25)/25</f>
        <v>55.811805555555551</v>
      </c>
      <c r="Q48" s="11" t="str">
        <f>IF(P48&gt;Thresholds!$B$13,"High Risk",IF(P48&gt;Thresholds!$B$12,"Moderate Risk","Low Risk"))</f>
        <v>Moderate Risk</v>
      </c>
      <c r="R48" s="11" t="str">
        <f>TRIM(IF(F48&lt;Thresholds!$B$6,"Low SOH; ","")&amp;IF(H48&gt;=Thresholds!$B$7,"High IR; ","")&amp;IF(K48&gt;=Thresholds!$B$9,"High Imbalance; ","")&amp;IF(L48&gt;Thresholds!$B$11,"Sustained Heat 24h; ","")&amp;IF(G48&gt;Thresholds!$B$10,"High Temp; ",""))</f>
        <v/>
      </c>
    </row>
    <row r="49" spans="1:18" x14ac:dyDescent="0.3">
      <c r="A49" s="10" t="s">
        <v>120</v>
      </c>
      <c r="B49" s="10" t="s">
        <v>71</v>
      </c>
      <c r="C49" s="10">
        <v>48</v>
      </c>
      <c r="D49" s="10">
        <v>40</v>
      </c>
      <c r="E49" s="10">
        <v>76.900000000000006</v>
      </c>
      <c r="F49" s="10">
        <v>82.4</v>
      </c>
      <c r="G49" s="10">
        <v>30.3</v>
      </c>
      <c r="H49" s="10">
        <v>58.8</v>
      </c>
      <c r="I49" s="10">
        <v>892</v>
      </c>
      <c r="J49" s="10">
        <v>3.08</v>
      </c>
      <c r="K49" s="10">
        <v>36.299999999999997</v>
      </c>
      <c r="L49" s="10">
        <v>37.700000000000003</v>
      </c>
      <c r="M49" s="10">
        <v>1.2170000000000001</v>
      </c>
      <c r="N49" s="10" t="s">
        <v>72</v>
      </c>
      <c r="O49" s="11" t="str">
        <f>IF(OR(F49&lt;Thresholds!$B$6,H49&gt;=Thresholds!$B$7,K49&gt;=Thresholds!$B$9,L49&gt;Thresholds!$B$11,G49&gt;Thresholds!$B$10),"ISOLATE",IF(AND(F49&gt;=Thresholds!$B$5,K49&lt;=Thresholds!$B$8),"SAFE","DEGRADE/USE"))</f>
        <v>SAFE</v>
      </c>
      <c r="P49" s="12">
        <f>Thresholds!$B$14*MIN(100-F49,40)/40+Thresholds!$B$15*MIN(H49,90)/90+Thresholds!$B$16*MIN(K49,100)/100+Thresholds!$B$17*MIN(I49,1600)/1600+Thresholds!$B$18*MIN(J49,5)/5+Thresholds!$B$19*MAX(0,G49-25)/25</f>
        <v>48.708333333333329</v>
      </c>
      <c r="Q49" s="11" t="str">
        <f>IF(P49&gt;Thresholds!$B$13,"High Risk",IF(P49&gt;Thresholds!$B$12,"Moderate Risk","Low Risk"))</f>
        <v>Moderate Risk</v>
      </c>
      <c r="R49" s="11" t="str">
        <f>TRIM(IF(F49&lt;Thresholds!$B$6,"Low SOH; ","")&amp;IF(H49&gt;=Thresholds!$B$7,"High IR; ","")&amp;IF(K49&gt;=Thresholds!$B$9,"High Imbalance; ","")&amp;IF(L49&gt;Thresholds!$B$11,"Sustained Heat 24h; ","")&amp;IF(G49&gt;Thresholds!$B$10,"High Temp; ",""))</f>
        <v/>
      </c>
    </row>
    <row r="50" spans="1:18" x14ac:dyDescent="0.3">
      <c r="A50" s="10" t="s">
        <v>121</v>
      </c>
      <c r="B50" s="10" t="s">
        <v>71</v>
      </c>
      <c r="C50" s="10">
        <v>48</v>
      </c>
      <c r="D50" s="10">
        <v>40</v>
      </c>
      <c r="E50" s="10">
        <v>100</v>
      </c>
      <c r="F50" s="10">
        <v>66</v>
      </c>
      <c r="G50" s="10">
        <v>36.9</v>
      </c>
      <c r="H50" s="10">
        <v>83.1</v>
      </c>
      <c r="I50" s="10">
        <v>1586</v>
      </c>
      <c r="J50" s="10">
        <v>3.18</v>
      </c>
      <c r="K50" s="10">
        <v>65.400000000000006</v>
      </c>
      <c r="L50" s="10">
        <v>39.1</v>
      </c>
      <c r="M50" s="10">
        <v>1.2669999999999999</v>
      </c>
      <c r="N50" s="10" t="s">
        <v>72</v>
      </c>
      <c r="O50" s="11" t="str">
        <f>IF(OR(F50&lt;Thresholds!$B$6,H50&gt;=Thresholds!$B$7,K50&gt;=Thresholds!$B$9,L50&gt;Thresholds!$B$11,G50&gt;Thresholds!$B$10),"ISOLATE",IF(AND(F50&gt;=Thresholds!$B$5,K50&lt;=Thresholds!$B$8),"SAFE","DEGRADE/USE"))</f>
        <v>ISOLATE</v>
      </c>
      <c r="P50" s="12">
        <f>Thresholds!$B$14*MIN(100-F50,40)/40+Thresholds!$B$15*MIN(H50,90)/90+Thresholds!$B$16*MIN(K50,100)/100+Thresholds!$B$17*MIN(I50,1600)/1600+Thresholds!$B$18*MIN(J50,5)/5+Thresholds!$B$19*MAX(0,G50-25)/25</f>
        <v>81.385833333333323</v>
      </c>
      <c r="Q50" s="11" t="str">
        <f>IF(P50&gt;Thresholds!$B$13,"High Risk",IF(P50&gt;Thresholds!$B$12,"Moderate Risk","Low Risk"))</f>
        <v>High Risk</v>
      </c>
      <c r="R50" s="11" t="str">
        <f>TRIM(IF(F50&lt;Thresholds!$B$6,"Low SOH; ","")&amp;IF(H50&gt;=Thresholds!$B$7,"High IR; ","")&amp;IF(K50&gt;=Thresholds!$B$9,"High Imbalance; ","")&amp;IF(L50&gt;Thresholds!$B$11,"Sustained Heat 24h; ","")&amp;IF(G50&gt;Thresholds!$B$10,"High Temp; ",""))</f>
        <v>High IR;</v>
      </c>
    </row>
    <row r="51" spans="1:18" x14ac:dyDescent="0.3">
      <c r="A51" s="10" t="s">
        <v>122</v>
      </c>
      <c r="B51" s="10" t="s">
        <v>71</v>
      </c>
      <c r="C51" s="10">
        <v>48</v>
      </c>
      <c r="D51" s="10">
        <v>40</v>
      </c>
      <c r="E51" s="10">
        <v>73.599999999999994</v>
      </c>
      <c r="F51" s="10">
        <v>90.8</v>
      </c>
      <c r="G51" s="10">
        <v>29.6</v>
      </c>
      <c r="H51" s="10">
        <v>47.5</v>
      </c>
      <c r="I51" s="10">
        <v>357</v>
      </c>
      <c r="J51" s="10">
        <v>1.8</v>
      </c>
      <c r="K51" s="10">
        <v>14.7</v>
      </c>
      <c r="L51" s="10">
        <v>37.4</v>
      </c>
      <c r="M51" s="10">
        <v>1.2829999999999999</v>
      </c>
      <c r="N51" s="10" t="s">
        <v>72</v>
      </c>
      <c r="O51" s="11" t="str">
        <f>IF(OR(F51&lt;Thresholds!$B$6,H51&gt;=Thresholds!$B$7,K51&gt;=Thresholds!$B$9,L51&gt;Thresholds!$B$11,G51&gt;Thresholds!$B$10),"ISOLATE",IF(AND(F51&gt;=Thresholds!$B$5,K51&lt;=Thresholds!$B$8),"SAFE","DEGRADE/USE"))</f>
        <v>SAFE</v>
      </c>
      <c r="P51" s="12">
        <f>Thresholds!$B$14*MIN(100-F51,40)/40+Thresholds!$B$15*MIN(H51,90)/90+Thresholds!$B$16*MIN(K51,100)/100+Thresholds!$B$17*MIN(I51,1600)/1600+Thresholds!$B$18*MIN(J51,5)/5+Thresholds!$B$19*MAX(0,G51-25)/25</f>
        <v>29.13569444444445</v>
      </c>
      <c r="Q51" s="11" t="str">
        <f>IF(P51&gt;Thresholds!$B$13,"High Risk",IF(P51&gt;Thresholds!$B$12,"Moderate Risk","Low Risk"))</f>
        <v>Low Risk</v>
      </c>
      <c r="R51" s="11" t="str">
        <f>TRIM(IF(F51&lt;Thresholds!$B$6,"Low SOH; ","")&amp;IF(H51&gt;=Thresholds!$B$7,"High IR; ","")&amp;IF(K51&gt;=Thresholds!$B$9,"High Imbalance; ","")&amp;IF(L51&gt;Thresholds!$B$11,"Sustained Heat 24h; ","")&amp;IF(G51&gt;Thresholds!$B$10,"High Temp; ",""))</f>
        <v/>
      </c>
    </row>
    <row r="52" spans="1:18" x14ac:dyDescent="0.3">
      <c r="A52" s="10" t="s">
        <v>123</v>
      </c>
      <c r="B52" s="10" t="s">
        <v>71</v>
      </c>
      <c r="C52" s="10">
        <v>48</v>
      </c>
      <c r="D52" s="10">
        <v>40</v>
      </c>
      <c r="E52" s="10">
        <v>49.1</v>
      </c>
      <c r="F52" s="10">
        <v>85.8</v>
      </c>
      <c r="G52" s="10">
        <v>29.3</v>
      </c>
      <c r="H52" s="10">
        <v>52.8</v>
      </c>
      <c r="I52" s="10">
        <v>382</v>
      </c>
      <c r="J52" s="10">
        <v>3.13</v>
      </c>
      <c r="K52" s="10">
        <v>38.1</v>
      </c>
      <c r="L52" s="10">
        <v>35.5</v>
      </c>
      <c r="M52" s="10">
        <v>0.80800000000000005</v>
      </c>
      <c r="N52" s="10" t="s">
        <v>72</v>
      </c>
      <c r="O52" s="11" t="str">
        <f>IF(OR(F52&lt;Thresholds!$B$6,H52&gt;=Thresholds!$B$7,K52&gt;=Thresholds!$B$9,L52&gt;Thresholds!$B$11,G52&gt;Thresholds!$B$10),"ISOLATE",IF(AND(F52&gt;=Thresholds!$B$5,K52&lt;=Thresholds!$B$8),"SAFE","DEGRADE/USE"))</f>
        <v>SAFE</v>
      </c>
      <c r="P52" s="12">
        <f>Thresholds!$B$14*MIN(100-F52,40)/40+Thresholds!$B$15*MIN(H52,90)/90+Thresholds!$B$16*MIN(K52,100)/100+Thresholds!$B$17*MIN(I52,1600)/1600+Thresholds!$B$18*MIN(J52,5)/5+Thresholds!$B$19*MAX(0,G52-25)/25</f>
        <v>41.089166666666671</v>
      </c>
      <c r="Q52" s="11" t="str">
        <f>IF(P52&gt;Thresholds!$B$13,"High Risk",IF(P52&gt;Thresholds!$B$12,"Moderate Risk","Low Risk"))</f>
        <v>Moderate Risk</v>
      </c>
      <c r="R52" s="11" t="str">
        <f>TRIM(IF(F52&lt;Thresholds!$B$6,"Low SOH; ","")&amp;IF(H52&gt;=Thresholds!$B$7,"High IR; ","")&amp;IF(K52&gt;=Thresholds!$B$9,"High Imbalance; ","")&amp;IF(L52&gt;Thresholds!$B$11,"Sustained Heat 24h; ","")&amp;IF(G52&gt;Thresholds!$B$10,"High Temp; ",""))</f>
        <v/>
      </c>
    </row>
    <row r="53" spans="1:18" x14ac:dyDescent="0.3">
      <c r="A53" s="10" t="s">
        <v>124</v>
      </c>
      <c r="B53" s="10" t="s">
        <v>71</v>
      </c>
      <c r="C53" s="10">
        <v>48</v>
      </c>
      <c r="D53" s="10">
        <v>40</v>
      </c>
      <c r="E53" s="10">
        <v>100</v>
      </c>
      <c r="F53" s="10">
        <v>82.9</v>
      </c>
      <c r="G53" s="10">
        <v>20.5</v>
      </c>
      <c r="H53" s="10">
        <v>60.2</v>
      </c>
      <c r="I53" s="10">
        <v>509</v>
      </c>
      <c r="J53" s="10">
        <v>4.71</v>
      </c>
      <c r="K53" s="10">
        <v>27.2</v>
      </c>
      <c r="L53" s="10">
        <v>26.7</v>
      </c>
      <c r="M53" s="10">
        <v>1.591</v>
      </c>
      <c r="N53" s="10" t="s">
        <v>72</v>
      </c>
      <c r="O53" s="11" t="str">
        <f>IF(OR(F53&lt;Thresholds!$B$6,H53&gt;=Thresholds!$B$7,K53&gt;=Thresholds!$B$9,L53&gt;Thresholds!$B$11,G53&gt;Thresholds!$B$10),"ISOLATE",IF(AND(F53&gt;=Thresholds!$B$5,K53&lt;=Thresholds!$B$8),"SAFE","DEGRADE/USE"))</f>
        <v>SAFE</v>
      </c>
      <c r="P53" s="12">
        <f>Thresholds!$B$14*MIN(100-F53,40)/40+Thresholds!$B$15*MIN(H53,90)/90+Thresholds!$B$16*MIN(K53,100)/100+Thresholds!$B$17*MIN(I53,1600)/1600+Thresholds!$B$18*MIN(J53,5)/5+Thresholds!$B$19*MAX(0,G53-25)/25</f>
        <v>45.015972222222217</v>
      </c>
      <c r="Q53" s="11" t="str">
        <f>IF(P53&gt;Thresholds!$B$13,"High Risk",IF(P53&gt;Thresholds!$B$12,"Moderate Risk","Low Risk"))</f>
        <v>Moderate Risk</v>
      </c>
      <c r="R53" s="11" t="str">
        <f>TRIM(IF(F53&lt;Thresholds!$B$6,"Low SOH; ","")&amp;IF(H53&gt;=Thresholds!$B$7,"High IR; ","")&amp;IF(K53&gt;=Thresholds!$B$9,"High Imbalance; ","")&amp;IF(L53&gt;Thresholds!$B$11,"Sustained Heat 24h; ","")&amp;IF(G53&gt;Thresholds!$B$10,"High Temp; ",""))</f>
        <v/>
      </c>
    </row>
    <row r="54" spans="1:18" x14ac:dyDescent="0.3">
      <c r="A54" s="10" t="s">
        <v>125</v>
      </c>
      <c r="B54" s="10" t="s">
        <v>71</v>
      </c>
      <c r="C54" s="10">
        <v>48</v>
      </c>
      <c r="D54" s="10">
        <v>40</v>
      </c>
      <c r="E54" s="10">
        <v>57.2</v>
      </c>
      <c r="F54" s="10">
        <v>66.7</v>
      </c>
      <c r="G54" s="10">
        <v>37.9</v>
      </c>
      <c r="H54" s="10">
        <v>78.7</v>
      </c>
      <c r="I54" s="10">
        <v>1347</v>
      </c>
      <c r="J54" s="10">
        <v>1.99</v>
      </c>
      <c r="K54" s="10">
        <v>64.900000000000006</v>
      </c>
      <c r="L54" s="10">
        <v>43.7</v>
      </c>
      <c r="M54" s="10">
        <v>0.73199999999999998</v>
      </c>
      <c r="N54" s="10" t="s">
        <v>72</v>
      </c>
      <c r="O54" s="11" t="str">
        <f>IF(OR(F54&lt;Thresholds!$B$6,H54&gt;=Thresholds!$B$7,K54&gt;=Thresholds!$B$9,L54&gt;Thresholds!$B$11,G54&gt;Thresholds!$B$10),"ISOLATE",IF(AND(F54&gt;=Thresholds!$B$5,K54&lt;=Thresholds!$B$8),"SAFE","DEGRADE/USE"))</f>
        <v>ISOLATE</v>
      </c>
      <c r="P54" s="12">
        <f>Thresholds!$B$14*MIN(100-F54,40)/40+Thresholds!$B$15*MIN(H54,90)/90+Thresholds!$B$16*MIN(K54,100)/100+Thresholds!$B$17*MIN(I54,1600)/1600+Thresholds!$B$18*MIN(J54,5)/5+Thresholds!$B$19*MAX(0,G54-25)/25</f>
        <v>76.967361111111103</v>
      </c>
      <c r="Q54" s="11" t="str">
        <f>IF(P54&gt;Thresholds!$B$13,"High Risk",IF(P54&gt;Thresholds!$B$12,"Moderate Risk","Low Risk"))</f>
        <v>High Risk</v>
      </c>
      <c r="R54" s="11" t="str">
        <f>TRIM(IF(F54&lt;Thresholds!$B$6,"Low SOH; ","")&amp;IF(H54&gt;=Thresholds!$B$7,"High IR; ","")&amp;IF(K54&gt;=Thresholds!$B$9,"High Imbalance; ","")&amp;IF(L54&gt;Thresholds!$B$11,"Sustained Heat 24h; ","")&amp;IF(G54&gt;Thresholds!$B$10,"High Temp; ",""))</f>
        <v>High IR;</v>
      </c>
    </row>
    <row r="55" spans="1:18" x14ac:dyDescent="0.3">
      <c r="A55" s="10" t="s">
        <v>126</v>
      </c>
      <c r="B55" s="10" t="s">
        <v>71</v>
      </c>
      <c r="C55" s="10">
        <v>48</v>
      </c>
      <c r="D55" s="10">
        <v>40</v>
      </c>
      <c r="E55" s="10">
        <v>88.5</v>
      </c>
      <c r="F55" s="10">
        <v>68.099999999999994</v>
      </c>
      <c r="G55" s="10">
        <v>29.9</v>
      </c>
      <c r="H55" s="10">
        <v>71.8</v>
      </c>
      <c r="I55" s="10">
        <v>1564</v>
      </c>
      <c r="J55" s="10">
        <v>0.77</v>
      </c>
      <c r="K55" s="10">
        <v>73.5</v>
      </c>
      <c r="L55" s="10">
        <v>30.6</v>
      </c>
      <c r="M55" s="10">
        <v>1.157</v>
      </c>
      <c r="N55" s="10" t="s">
        <v>72</v>
      </c>
      <c r="O55" s="11" t="str">
        <f>IF(OR(F55&lt;Thresholds!$B$6,H55&gt;=Thresholds!$B$7,K55&gt;=Thresholds!$B$9,L55&gt;Thresholds!$B$11,G55&gt;Thresholds!$B$10),"ISOLATE",IF(AND(F55&gt;=Thresholds!$B$5,K55&lt;=Thresholds!$B$8),"SAFE","DEGRADE/USE"))</f>
        <v>DEGRADE/USE</v>
      </c>
      <c r="P55" s="12">
        <f>Thresholds!$B$14*MIN(100-F55,40)/40+Thresholds!$B$15*MIN(H55,90)/90+Thresholds!$B$16*MIN(K55,100)/100+Thresholds!$B$17*MIN(I55,1600)/1600+Thresholds!$B$18*MIN(J55,5)/5+Thresholds!$B$19*MAX(0,G55-25)/25</f>
        <v>74.08194444444446</v>
      </c>
      <c r="Q55" s="11" t="str">
        <f>IF(P55&gt;Thresholds!$B$13,"High Risk",IF(P55&gt;Thresholds!$B$12,"Moderate Risk","Low Risk"))</f>
        <v>High Risk</v>
      </c>
      <c r="R55" s="11" t="str">
        <f>TRIM(IF(F55&lt;Thresholds!$B$6,"Low SOH; ","")&amp;IF(H55&gt;=Thresholds!$B$7,"High IR; ","")&amp;IF(K55&gt;=Thresholds!$B$9,"High Imbalance; ","")&amp;IF(L55&gt;Thresholds!$B$11,"Sustained Heat 24h; ","")&amp;IF(G55&gt;Thresholds!$B$10,"High Temp; ",""))</f>
        <v/>
      </c>
    </row>
    <row r="56" spans="1:18" x14ac:dyDescent="0.3">
      <c r="A56" s="10" t="s">
        <v>127</v>
      </c>
      <c r="B56" s="10" t="s">
        <v>71</v>
      </c>
      <c r="C56" s="10">
        <v>48</v>
      </c>
      <c r="D56" s="10">
        <v>40</v>
      </c>
      <c r="E56" s="10">
        <v>100</v>
      </c>
      <c r="F56" s="10">
        <v>64</v>
      </c>
      <c r="G56" s="10">
        <v>24.4</v>
      </c>
      <c r="H56" s="10">
        <v>78.599999999999994</v>
      </c>
      <c r="I56" s="10">
        <v>1550</v>
      </c>
      <c r="J56" s="10">
        <v>2.4</v>
      </c>
      <c r="K56" s="10">
        <v>92.3</v>
      </c>
      <c r="L56" s="10">
        <v>31.1</v>
      </c>
      <c r="M56" s="10">
        <v>1.2290000000000001</v>
      </c>
      <c r="N56" s="10" t="s">
        <v>80</v>
      </c>
      <c r="O56" s="11" t="str">
        <f>IF(OR(F56&lt;Thresholds!$B$6,H56&gt;=Thresholds!$B$7,K56&gt;=Thresholds!$B$9,L56&gt;Thresholds!$B$11,G56&gt;Thresholds!$B$10),"ISOLATE",IF(AND(F56&gt;=Thresholds!$B$5,K56&lt;=Thresholds!$B$8),"SAFE","DEGRADE/USE"))</f>
        <v>ISOLATE</v>
      </c>
      <c r="P56" s="12">
        <f>Thresholds!$B$14*MIN(100-F56,40)/40+Thresholds!$B$15*MIN(H56,90)/90+Thresholds!$B$16*MIN(K56,100)/100+Thresholds!$B$17*MIN(I56,1600)/1600+Thresholds!$B$18*MIN(J56,5)/5+Thresholds!$B$19*MAX(0,G56-25)/25</f>
        <v>83.880833333333328</v>
      </c>
      <c r="Q56" s="11" t="str">
        <f>IF(P56&gt;Thresholds!$B$13,"High Risk",IF(P56&gt;Thresholds!$B$12,"Moderate Risk","Low Risk"))</f>
        <v>High Risk</v>
      </c>
      <c r="R56" s="11" t="str">
        <f>TRIM(IF(F56&lt;Thresholds!$B$6,"Low SOH; ","")&amp;IF(H56&gt;=Thresholds!$B$7,"High IR; ","")&amp;IF(K56&gt;=Thresholds!$B$9,"High Imbalance; ","")&amp;IF(L56&gt;Thresholds!$B$11,"Sustained Heat 24h; ","")&amp;IF(G56&gt;Thresholds!$B$10,"High Temp; ",""))</f>
        <v>High IR; High Imbalance;</v>
      </c>
    </row>
    <row r="57" spans="1:18" x14ac:dyDescent="0.3">
      <c r="A57" s="10" t="s">
        <v>128</v>
      </c>
      <c r="B57" s="10" t="s">
        <v>71</v>
      </c>
      <c r="C57" s="10">
        <v>48</v>
      </c>
      <c r="D57" s="10">
        <v>40</v>
      </c>
      <c r="E57" s="10">
        <v>74.099999999999994</v>
      </c>
      <c r="F57" s="10">
        <v>83.5</v>
      </c>
      <c r="G57" s="10">
        <v>35.299999999999997</v>
      </c>
      <c r="H57" s="10">
        <v>62.5</v>
      </c>
      <c r="I57" s="10">
        <v>471</v>
      </c>
      <c r="J57" s="10">
        <v>0.69</v>
      </c>
      <c r="K57" s="10">
        <v>39.4</v>
      </c>
      <c r="L57" s="10">
        <v>37</v>
      </c>
      <c r="M57" s="10">
        <v>1.1879999999999999</v>
      </c>
      <c r="N57" s="10" t="s">
        <v>72</v>
      </c>
      <c r="O57" s="11" t="str">
        <f>IF(OR(F57&lt;Thresholds!$B$6,H57&gt;=Thresholds!$B$7,K57&gt;=Thresholds!$B$9,L57&gt;Thresholds!$B$11,G57&gt;Thresholds!$B$10),"ISOLATE",IF(AND(F57&gt;=Thresholds!$B$5,K57&lt;=Thresholds!$B$8),"SAFE","DEGRADE/USE"))</f>
        <v>SAFE</v>
      </c>
      <c r="P57" s="12">
        <f>Thresholds!$B$14*MIN(100-F57,40)/40+Thresholds!$B$15*MIN(H57,90)/90+Thresholds!$B$16*MIN(K57,100)/100+Thresholds!$B$17*MIN(I57,1600)/1600+Thresholds!$B$18*MIN(J57,5)/5+Thresholds!$B$19*MAX(0,G57-25)/25</f>
        <v>45.372361111111111</v>
      </c>
      <c r="Q57" s="11" t="str">
        <f>IF(P57&gt;Thresholds!$B$13,"High Risk",IF(P57&gt;Thresholds!$B$12,"Moderate Risk","Low Risk"))</f>
        <v>Moderate Risk</v>
      </c>
      <c r="R57" s="11" t="str">
        <f>TRIM(IF(F57&lt;Thresholds!$B$6,"Low SOH; ","")&amp;IF(H57&gt;=Thresholds!$B$7,"High IR; ","")&amp;IF(K57&gt;=Thresholds!$B$9,"High Imbalance; ","")&amp;IF(L57&gt;Thresholds!$B$11,"Sustained Heat 24h; ","")&amp;IF(G57&gt;Thresholds!$B$10,"High Temp; ",""))</f>
        <v/>
      </c>
    </row>
    <row r="58" spans="1:18" x14ac:dyDescent="0.3">
      <c r="A58" s="10" t="s">
        <v>129</v>
      </c>
      <c r="B58" s="10" t="s">
        <v>71</v>
      </c>
      <c r="C58" s="10">
        <v>48</v>
      </c>
      <c r="D58" s="10">
        <v>40</v>
      </c>
      <c r="E58" s="10">
        <v>84.2</v>
      </c>
      <c r="F58" s="10">
        <v>75.900000000000006</v>
      </c>
      <c r="G58" s="10">
        <v>28.9</v>
      </c>
      <c r="H58" s="10">
        <v>63.5</v>
      </c>
      <c r="I58" s="10">
        <v>1153</v>
      </c>
      <c r="J58" s="10">
        <v>3.36</v>
      </c>
      <c r="K58" s="10">
        <v>55.2</v>
      </c>
      <c r="L58" s="10">
        <v>32.4</v>
      </c>
      <c r="M58" s="10">
        <v>1.226</v>
      </c>
      <c r="N58" s="10" t="s">
        <v>72</v>
      </c>
      <c r="O58" s="11" t="str">
        <f>IF(OR(F58&lt;Thresholds!$B$6,H58&gt;=Thresholds!$B$7,K58&gt;=Thresholds!$B$9,L58&gt;Thresholds!$B$11,G58&gt;Thresholds!$B$10),"ISOLATE",IF(AND(F58&gt;=Thresholds!$B$5,K58&lt;=Thresholds!$B$8),"SAFE","DEGRADE/USE"))</f>
        <v>DEGRADE/USE</v>
      </c>
      <c r="P58" s="12">
        <f>Thresholds!$B$14*MIN(100-F58,40)/40+Thresholds!$B$15*MIN(H58,90)/90+Thresholds!$B$16*MIN(K58,100)/100+Thresholds!$B$17*MIN(I58,1600)/1600+Thresholds!$B$18*MIN(J58,5)/5+Thresholds!$B$19*MAX(0,G58-25)/25</f>
        <v>61.112638888888881</v>
      </c>
      <c r="Q58" s="11" t="str">
        <f>IF(P58&gt;Thresholds!$B$13,"High Risk",IF(P58&gt;Thresholds!$B$12,"Moderate Risk","Low Risk"))</f>
        <v>Moderate Risk</v>
      </c>
      <c r="R58" s="11" t="str">
        <f>TRIM(IF(F58&lt;Thresholds!$B$6,"Low SOH; ","")&amp;IF(H58&gt;=Thresholds!$B$7,"High IR; ","")&amp;IF(K58&gt;=Thresholds!$B$9,"High Imbalance; ","")&amp;IF(L58&gt;Thresholds!$B$11,"Sustained Heat 24h; ","")&amp;IF(G58&gt;Thresholds!$B$10,"High Temp; ",""))</f>
        <v/>
      </c>
    </row>
    <row r="59" spans="1:18" x14ac:dyDescent="0.3">
      <c r="A59" s="10" t="s">
        <v>130</v>
      </c>
      <c r="B59" s="10" t="s">
        <v>71</v>
      </c>
      <c r="C59" s="10">
        <v>48</v>
      </c>
      <c r="D59" s="10">
        <v>40</v>
      </c>
      <c r="E59" s="10">
        <v>100</v>
      </c>
      <c r="F59" s="10">
        <v>71.599999999999994</v>
      </c>
      <c r="G59" s="10">
        <v>30.7</v>
      </c>
      <c r="H59" s="10">
        <v>71.599999999999994</v>
      </c>
      <c r="I59" s="10">
        <v>1106</v>
      </c>
      <c r="J59" s="10">
        <v>3.75</v>
      </c>
      <c r="K59" s="10">
        <v>68.900000000000006</v>
      </c>
      <c r="L59" s="10">
        <v>35.1</v>
      </c>
      <c r="M59" s="10">
        <v>1.3740000000000001</v>
      </c>
      <c r="N59" s="10" t="s">
        <v>72</v>
      </c>
      <c r="O59" s="11" t="str">
        <f>IF(OR(F59&lt;Thresholds!$B$6,H59&gt;=Thresholds!$B$7,K59&gt;=Thresholds!$B$9,L59&gt;Thresholds!$B$11,G59&gt;Thresholds!$B$10),"ISOLATE",IF(AND(F59&gt;=Thresholds!$B$5,K59&lt;=Thresholds!$B$8),"SAFE","DEGRADE/USE"))</f>
        <v>DEGRADE/USE</v>
      </c>
      <c r="P59" s="12">
        <f>Thresholds!$B$14*MIN(100-F59,40)/40+Thresholds!$B$15*MIN(H59,90)/90+Thresholds!$B$16*MIN(K59,100)/100+Thresholds!$B$17*MIN(I59,1600)/1600+Thresholds!$B$18*MIN(J59,5)/5+Thresholds!$B$19*MAX(0,G59-25)/25</f>
        <v>70.32138888888889</v>
      </c>
      <c r="Q59" s="11" t="str">
        <f>IF(P59&gt;Thresholds!$B$13,"High Risk",IF(P59&gt;Thresholds!$B$12,"Moderate Risk","Low Risk"))</f>
        <v>High Risk</v>
      </c>
      <c r="R59" s="11" t="str">
        <f>TRIM(IF(F59&lt;Thresholds!$B$6,"Low SOH; ","")&amp;IF(H59&gt;=Thresholds!$B$7,"High IR; ","")&amp;IF(K59&gt;=Thresholds!$B$9,"High Imbalance; ","")&amp;IF(L59&gt;Thresholds!$B$11,"Sustained Heat 24h; ","")&amp;IF(G59&gt;Thresholds!$B$10,"High Temp; ",""))</f>
        <v/>
      </c>
    </row>
    <row r="60" spans="1:18" x14ac:dyDescent="0.3">
      <c r="A60" s="10" t="s">
        <v>131</v>
      </c>
      <c r="B60" s="10" t="s">
        <v>71</v>
      </c>
      <c r="C60" s="10">
        <v>48</v>
      </c>
      <c r="D60" s="10">
        <v>40</v>
      </c>
      <c r="E60" s="10">
        <v>46.9</v>
      </c>
      <c r="F60" s="10">
        <v>87</v>
      </c>
      <c r="G60" s="10">
        <v>27.7</v>
      </c>
      <c r="H60" s="10">
        <v>54.8</v>
      </c>
      <c r="I60" s="10">
        <v>534</v>
      </c>
      <c r="J60" s="10">
        <v>0.37</v>
      </c>
      <c r="K60" s="10">
        <v>32.6</v>
      </c>
      <c r="L60" s="10">
        <v>35.4</v>
      </c>
      <c r="M60" s="10">
        <v>0.78300000000000003</v>
      </c>
      <c r="N60" s="10" t="s">
        <v>72</v>
      </c>
      <c r="O60" s="11" t="str">
        <f>IF(OR(F60&lt;Thresholds!$B$6,H60&gt;=Thresholds!$B$7,K60&gt;=Thresholds!$B$9,L60&gt;Thresholds!$B$11,G60&gt;Thresholds!$B$10),"ISOLATE",IF(AND(F60&gt;=Thresholds!$B$5,K60&lt;=Thresholds!$B$8),"SAFE","DEGRADE/USE"))</f>
        <v>SAFE</v>
      </c>
      <c r="P60" s="12">
        <f>Thresholds!$B$14*MIN(100-F60,40)/40+Thresholds!$B$15*MIN(H60,90)/90+Thresholds!$B$16*MIN(K60,100)/100+Thresholds!$B$17*MIN(I60,1600)/1600+Thresholds!$B$18*MIN(J60,5)/5+Thresholds!$B$19*MAX(0,G60-25)/25</f>
        <v>37.36472222222222</v>
      </c>
      <c r="Q60" s="11" t="str">
        <f>IF(P60&gt;Thresholds!$B$13,"High Risk",IF(P60&gt;Thresholds!$B$12,"Moderate Risk","Low Risk"))</f>
        <v>Moderate Risk</v>
      </c>
      <c r="R60" s="11" t="str">
        <f>TRIM(IF(F60&lt;Thresholds!$B$6,"Low SOH; ","")&amp;IF(H60&gt;=Thresholds!$B$7,"High IR; ","")&amp;IF(K60&gt;=Thresholds!$B$9,"High Imbalance; ","")&amp;IF(L60&gt;Thresholds!$B$11,"Sustained Heat 24h; ","")&amp;IF(G60&gt;Thresholds!$B$10,"High Temp; ",""))</f>
        <v/>
      </c>
    </row>
    <row r="61" spans="1:18" x14ac:dyDescent="0.3">
      <c r="A61" s="10" t="s">
        <v>132</v>
      </c>
      <c r="B61" s="10" t="s">
        <v>71</v>
      </c>
      <c r="C61" s="10">
        <v>48</v>
      </c>
      <c r="D61" s="10">
        <v>40</v>
      </c>
      <c r="E61" s="10">
        <v>87.8</v>
      </c>
      <c r="F61" s="10">
        <v>70.5</v>
      </c>
      <c r="G61" s="10">
        <v>34.700000000000003</v>
      </c>
      <c r="H61" s="10">
        <v>77</v>
      </c>
      <c r="I61" s="10">
        <v>1237</v>
      </c>
      <c r="J61" s="10">
        <v>4.1900000000000004</v>
      </c>
      <c r="K61" s="10">
        <v>76.2</v>
      </c>
      <c r="L61" s="10">
        <v>34.700000000000003</v>
      </c>
      <c r="M61" s="10">
        <v>1.1890000000000001</v>
      </c>
      <c r="N61" s="10" t="s">
        <v>72</v>
      </c>
      <c r="O61" s="11" t="str">
        <f>IF(OR(F61&lt;Thresholds!$B$6,H61&gt;=Thresholds!$B$7,K61&gt;=Thresholds!$B$9,L61&gt;Thresholds!$B$11,G61&gt;Thresholds!$B$10),"ISOLATE",IF(AND(F61&gt;=Thresholds!$B$5,K61&lt;=Thresholds!$B$8),"SAFE","DEGRADE/USE"))</f>
        <v>DEGRADE/USE</v>
      </c>
      <c r="P61" s="12">
        <f>Thresholds!$B$14*MIN(100-F61,40)/40+Thresholds!$B$15*MIN(H61,90)/90+Thresholds!$B$16*MIN(K61,100)/100+Thresholds!$B$17*MIN(I61,1600)/1600+Thresholds!$B$18*MIN(J61,5)/5+Thresholds!$B$19*MAX(0,G61-25)/25</f>
        <v>76.302638888888879</v>
      </c>
      <c r="Q61" s="11" t="str">
        <f>IF(P61&gt;Thresholds!$B$13,"High Risk",IF(P61&gt;Thresholds!$B$12,"Moderate Risk","Low Risk"))</f>
        <v>High Risk</v>
      </c>
      <c r="R61" s="11" t="str">
        <f>TRIM(IF(F61&lt;Thresholds!$B$6,"Low SOH; ","")&amp;IF(H61&gt;=Thresholds!$B$7,"High IR; ","")&amp;IF(K61&gt;=Thresholds!$B$9,"High Imbalance; ","")&amp;IF(L61&gt;Thresholds!$B$11,"Sustained Heat 24h; ","")&amp;IF(G61&gt;Thresholds!$B$10,"High Temp; ",""))</f>
        <v/>
      </c>
    </row>
    <row r="62" spans="1:18" x14ac:dyDescent="0.3">
      <c r="A62" s="10" t="s">
        <v>133</v>
      </c>
      <c r="B62" s="10" t="s">
        <v>71</v>
      </c>
      <c r="C62" s="10">
        <v>48</v>
      </c>
      <c r="D62" s="10">
        <v>40</v>
      </c>
      <c r="E62" s="10">
        <v>95.6</v>
      </c>
      <c r="F62" s="10">
        <v>70.099999999999994</v>
      </c>
      <c r="G62" s="10">
        <v>34.4</v>
      </c>
      <c r="H62" s="10">
        <v>72.2</v>
      </c>
      <c r="I62" s="10">
        <v>1063</v>
      </c>
      <c r="J62" s="10">
        <v>3.49</v>
      </c>
      <c r="K62" s="10">
        <v>43.1</v>
      </c>
      <c r="L62" s="10">
        <v>35.1</v>
      </c>
      <c r="M62" s="10">
        <v>1.2869999999999999</v>
      </c>
      <c r="N62" s="10" t="s">
        <v>72</v>
      </c>
      <c r="O62" s="11" t="str">
        <f>IF(OR(F62&lt;Thresholds!$B$6,H62&gt;=Thresholds!$B$7,K62&gt;=Thresholds!$B$9,L62&gt;Thresholds!$B$11,G62&gt;Thresholds!$B$10),"ISOLATE",IF(AND(F62&gt;=Thresholds!$B$5,K62&lt;=Thresholds!$B$8),"SAFE","DEGRADE/USE"))</f>
        <v>DEGRADE/USE</v>
      </c>
      <c r="P62" s="12">
        <f>Thresholds!$B$14*MIN(100-F62,40)/40+Thresholds!$B$15*MIN(H62,90)/90+Thresholds!$B$16*MIN(K62,100)/100+Thresholds!$B$17*MIN(I62,1600)/1600+Thresholds!$B$18*MIN(J62,5)/5+Thresholds!$B$19*MAX(0,G62-25)/25</f>
        <v>66.851805555555558</v>
      </c>
      <c r="Q62" s="11" t="str">
        <f>IF(P62&gt;Thresholds!$B$13,"High Risk",IF(P62&gt;Thresholds!$B$12,"Moderate Risk","Low Risk"))</f>
        <v>High Risk</v>
      </c>
      <c r="R62" s="11" t="str">
        <f>TRIM(IF(F62&lt;Thresholds!$B$6,"Low SOH; ","")&amp;IF(H62&gt;=Thresholds!$B$7,"High IR; ","")&amp;IF(K62&gt;=Thresholds!$B$9,"High Imbalance; ","")&amp;IF(L62&gt;Thresholds!$B$11,"Sustained Heat 24h; ","")&amp;IF(G62&gt;Thresholds!$B$10,"High Temp; ",""))</f>
        <v/>
      </c>
    </row>
    <row r="63" spans="1:18" x14ac:dyDescent="0.3">
      <c r="A63" s="10" t="s">
        <v>134</v>
      </c>
      <c r="B63" s="10" t="s">
        <v>71</v>
      </c>
      <c r="C63" s="10">
        <v>48</v>
      </c>
      <c r="D63" s="10">
        <v>40</v>
      </c>
      <c r="E63" s="10">
        <v>97.1</v>
      </c>
      <c r="F63" s="10">
        <v>89.3</v>
      </c>
      <c r="G63" s="10">
        <v>28.7</v>
      </c>
      <c r="H63" s="10">
        <v>52</v>
      </c>
      <c r="I63" s="10">
        <v>489</v>
      </c>
      <c r="J63" s="10">
        <v>2.34</v>
      </c>
      <c r="K63" s="10">
        <v>33.1</v>
      </c>
      <c r="L63" s="10">
        <v>32.799999999999997</v>
      </c>
      <c r="M63" s="10">
        <v>1.6639999999999999</v>
      </c>
      <c r="N63" s="10" t="s">
        <v>72</v>
      </c>
      <c r="O63" s="11" t="str">
        <f>IF(OR(F63&lt;Thresholds!$B$6,H63&gt;=Thresholds!$B$7,K63&gt;=Thresholds!$B$9,L63&gt;Thresholds!$B$11,G63&gt;Thresholds!$B$10),"ISOLATE",IF(AND(F63&gt;=Thresholds!$B$5,K63&lt;=Thresholds!$B$8),"SAFE","DEGRADE/USE"))</f>
        <v>SAFE</v>
      </c>
      <c r="P63" s="12">
        <f>Thresholds!$B$14*MIN(100-F63,40)/40+Thresholds!$B$15*MIN(H63,90)/90+Thresholds!$B$16*MIN(K63,100)/100+Thresholds!$B$17*MIN(I63,1600)/1600+Thresholds!$B$18*MIN(J63,5)/5+Thresholds!$B$19*MAX(0,G63-25)/25</f>
        <v>36.563194444444456</v>
      </c>
      <c r="Q63" s="11" t="str">
        <f>IF(P63&gt;Thresholds!$B$13,"High Risk",IF(P63&gt;Thresholds!$B$12,"Moderate Risk","Low Risk"))</f>
        <v>Moderate Risk</v>
      </c>
      <c r="R63" s="11" t="str">
        <f>TRIM(IF(F63&lt;Thresholds!$B$6,"Low SOH; ","")&amp;IF(H63&gt;=Thresholds!$B$7,"High IR; ","")&amp;IF(K63&gt;=Thresholds!$B$9,"High Imbalance; ","")&amp;IF(L63&gt;Thresholds!$B$11,"Sustained Heat 24h; ","")&amp;IF(G63&gt;Thresholds!$B$10,"High Temp; ",""))</f>
        <v/>
      </c>
    </row>
    <row r="64" spans="1:18" x14ac:dyDescent="0.3">
      <c r="A64" s="10" t="s">
        <v>135</v>
      </c>
      <c r="B64" s="10" t="s">
        <v>71</v>
      </c>
      <c r="C64" s="10">
        <v>48</v>
      </c>
      <c r="D64" s="10">
        <v>40</v>
      </c>
      <c r="E64" s="10">
        <v>64</v>
      </c>
      <c r="F64" s="10">
        <v>93.4</v>
      </c>
      <c r="G64" s="10">
        <v>31.1</v>
      </c>
      <c r="H64" s="10">
        <v>51.7</v>
      </c>
      <c r="I64" s="10">
        <v>577</v>
      </c>
      <c r="J64" s="10">
        <v>0.23</v>
      </c>
      <c r="K64" s="10">
        <v>14.3</v>
      </c>
      <c r="L64" s="10">
        <v>33.1</v>
      </c>
      <c r="M64" s="10">
        <v>1.149</v>
      </c>
      <c r="N64" s="10" t="s">
        <v>72</v>
      </c>
      <c r="O64" s="11" t="str">
        <f>IF(OR(F64&lt;Thresholds!$B$6,H64&gt;=Thresholds!$B$7,K64&gt;=Thresholds!$B$9,L64&gt;Thresholds!$B$11,G64&gt;Thresholds!$B$10),"ISOLATE",IF(AND(F64&gt;=Thresholds!$B$5,K64&lt;=Thresholds!$B$8),"SAFE","DEGRADE/USE"))</f>
        <v>SAFE</v>
      </c>
      <c r="P64" s="12">
        <f>Thresholds!$B$14*MIN(100-F64,40)/40+Thresholds!$B$15*MIN(H64,90)/90+Thresholds!$B$16*MIN(K64,100)/100+Thresholds!$B$17*MIN(I64,1600)/1600+Thresholds!$B$18*MIN(J64,5)/5+Thresholds!$B$19*MAX(0,G64-25)/25</f>
        <v>28.052361111111104</v>
      </c>
      <c r="Q64" s="11" t="str">
        <f>IF(P64&gt;Thresholds!$B$13,"High Risk",IF(P64&gt;Thresholds!$B$12,"Moderate Risk","Low Risk"))</f>
        <v>Low Risk</v>
      </c>
      <c r="R64" s="11" t="str">
        <f>TRIM(IF(F64&lt;Thresholds!$B$6,"Low SOH; ","")&amp;IF(H64&gt;=Thresholds!$B$7,"High IR; ","")&amp;IF(K64&gt;=Thresholds!$B$9,"High Imbalance; ","")&amp;IF(L64&gt;Thresholds!$B$11,"Sustained Heat 24h; ","")&amp;IF(G64&gt;Thresholds!$B$10,"High Temp; ",""))</f>
        <v/>
      </c>
    </row>
    <row r="65" spans="1:18" x14ac:dyDescent="0.3">
      <c r="A65" s="10" t="s">
        <v>136</v>
      </c>
      <c r="B65" s="10" t="s">
        <v>71</v>
      </c>
      <c r="C65" s="10">
        <v>48</v>
      </c>
      <c r="D65" s="10">
        <v>40</v>
      </c>
      <c r="E65" s="10">
        <v>81.2</v>
      </c>
      <c r="F65" s="10">
        <v>88.7</v>
      </c>
      <c r="G65" s="10">
        <v>38.700000000000003</v>
      </c>
      <c r="H65" s="10">
        <v>48.8</v>
      </c>
      <c r="I65" s="10">
        <v>268</v>
      </c>
      <c r="J65" s="10">
        <v>1.06</v>
      </c>
      <c r="K65" s="10">
        <v>32.299999999999997</v>
      </c>
      <c r="L65" s="10">
        <v>45.5</v>
      </c>
      <c r="M65" s="10">
        <v>1.383</v>
      </c>
      <c r="N65" s="10" t="s">
        <v>72</v>
      </c>
      <c r="O65" s="11" t="str">
        <f>IF(OR(F65&lt;Thresholds!$B$6,H65&gt;=Thresholds!$B$7,K65&gt;=Thresholds!$B$9,L65&gt;Thresholds!$B$11,G65&gt;Thresholds!$B$10),"ISOLATE",IF(AND(F65&gt;=Thresholds!$B$5,K65&lt;=Thresholds!$B$8),"SAFE","DEGRADE/USE"))</f>
        <v>ISOLATE</v>
      </c>
      <c r="P65" s="12">
        <f>Thresholds!$B$14*MIN(100-F65,40)/40+Thresholds!$B$15*MIN(H65,90)/90+Thresholds!$B$16*MIN(K65,100)/100+Thresholds!$B$17*MIN(I65,1600)/1600+Thresholds!$B$18*MIN(J65,5)/5+Thresholds!$B$19*MAX(0,G65-25)/25</f>
        <v>35.378055555555555</v>
      </c>
      <c r="Q65" s="11" t="str">
        <f>IF(P65&gt;Thresholds!$B$13,"High Risk",IF(P65&gt;Thresholds!$B$12,"Moderate Risk","Low Risk"))</f>
        <v>Moderate Risk</v>
      </c>
      <c r="R65" s="11" t="str">
        <f>TRIM(IF(F65&lt;Thresholds!$B$6,"Low SOH; ","")&amp;IF(H65&gt;=Thresholds!$B$7,"High IR; ","")&amp;IF(K65&gt;=Thresholds!$B$9,"High Imbalance; ","")&amp;IF(L65&gt;Thresholds!$B$11,"Sustained Heat 24h; ","")&amp;IF(G65&gt;Thresholds!$B$10,"High Temp; ",""))</f>
        <v>Sustained Heat 24h;</v>
      </c>
    </row>
    <row r="66" spans="1:18" x14ac:dyDescent="0.3">
      <c r="A66" s="10" t="s">
        <v>137</v>
      </c>
      <c r="B66" s="10" t="s">
        <v>71</v>
      </c>
      <c r="C66" s="10">
        <v>48</v>
      </c>
      <c r="D66" s="10">
        <v>40</v>
      </c>
      <c r="E66" s="10">
        <v>60.9</v>
      </c>
      <c r="F66" s="10">
        <v>86.9</v>
      </c>
      <c r="G66" s="10">
        <v>31.8</v>
      </c>
      <c r="H66" s="10">
        <v>50</v>
      </c>
      <c r="I66" s="10">
        <v>663</v>
      </c>
      <c r="J66" s="10">
        <v>2.39</v>
      </c>
      <c r="K66" s="10">
        <v>46.3</v>
      </c>
      <c r="L66" s="10">
        <v>37.799999999999997</v>
      </c>
      <c r="M66" s="10">
        <v>1.0169999999999999</v>
      </c>
      <c r="N66" s="10" t="s">
        <v>72</v>
      </c>
      <c r="O66" s="11" t="str">
        <f>IF(OR(F66&lt;Thresholds!$B$6,H66&gt;=Thresholds!$B$7,K66&gt;=Thresholds!$B$9,L66&gt;Thresholds!$B$11,G66&gt;Thresholds!$B$10),"ISOLATE",IF(AND(F66&gt;=Thresholds!$B$5,K66&lt;=Thresholds!$B$8),"SAFE","DEGRADE/USE"))</f>
        <v>SAFE</v>
      </c>
      <c r="P66" s="12">
        <f>Thresholds!$B$14*MIN(100-F66,40)/40+Thresholds!$B$15*MIN(H66,90)/90+Thresholds!$B$16*MIN(K66,100)/100+Thresholds!$B$17*MIN(I66,1600)/1600+Thresholds!$B$18*MIN(J66,5)/5+Thresholds!$B$19*MAX(0,G66-25)/25</f>
        <v>42.505138888888879</v>
      </c>
      <c r="Q66" s="11" t="str">
        <f>IF(P66&gt;Thresholds!$B$13,"High Risk",IF(P66&gt;Thresholds!$B$12,"Moderate Risk","Low Risk"))</f>
        <v>Moderate Risk</v>
      </c>
      <c r="R66" s="11" t="str">
        <f>TRIM(IF(F66&lt;Thresholds!$B$6,"Low SOH; ","")&amp;IF(H66&gt;=Thresholds!$B$7,"High IR; ","")&amp;IF(K66&gt;=Thresholds!$B$9,"High Imbalance; ","")&amp;IF(L66&gt;Thresholds!$B$11,"Sustained Heat 24h; ","")&amp;IF(G66&gt;Thresholds!$B$10,"High Temp; ",""))</f>
        <v/>
      </c>
    </row>
    <row r="67" spans="1:18" x14ac:dyDescent="0.3">
      <c r="A67" s="10" t="s">
        <v>138</v>
      </c>
      <c r="B67" s="10" t="s">
        <v>71</v>
      </c>
      <c r="C67" s="10">
        <v>48</v>
      </c>
      <c r="D67" s="10">
        <v>40</v>
      </c>
      <c r="E67" s="10">
        <v>60.4</v>
      </c>
      <c r="F67" s="10">
        <v>70</v>
      </c>
      <c r="G67" s="10">
        <v>28.7</v>
      </c>
      <c r="H67" s="10">
        <v>65.599999999999994</v>
      </c>
      <c r="I67" s="10">
        <v>1244</v>
      </c>
      <c r="J67" s="10">
        <v>4.0999999999999996</v>
      </c>
      <c r="K67" s="10">
        <v>64.7</v>
      </c>
      <c r="L67" s="10">
        <v>34</v>
      </c>
      <c r="M67" s="10">
        <v>0.81299999999999994</v>
      </c>
      <c r="N67" s="10" t="s">
        <v>72</v>
      </c>
      <c r="O67" s="11" t="str">
        <f>IF(OR(F67&lt;Thresholds!$B$6,H67&gt;=Thresholds!$B$7,K67&gt;=Thresholds!$B$9,L67&gt;Thresholds!$B$11,G67&gt;Thresholds!$B$10),"ISOLATE",IF(AND(F67&gt;=Thresholds!$B$5,K67&lt;=Thresholds!$B$8),"SAFE","DEGRADE/USE"))</f>
        <v>DEGRADE/USE</v>
      </c>
      <c r="P67" s="12">
        <f>Thresholds!$B$14*MIN(100-F67,40)/40+Thresholds!$B$15*MIN(H67,90)/90+Thresholds!$B$16*MIN(K67,100)/100+Thresholds!$B$17*MIN(I67,1600)/1600+Thresholds!$B$18*MIN(J67,5)/5+Thresholds!$B$19*MAX(0,G67-25)/25</f>
        <v>70.027222222222207</v>
      </c>
      <c r="Q67" s="11" t="str">
        <f>IF(P67&gt;Thresholds!$B$13,"High Risk",IF(P67&gt;Thresholds!$B$12,"Moderate Risk","Low Risk"))</f>
        <v>High Risk</v>
      </c>
      <c r="R67" s="11" t="str">
        <f>TRIM(IF(F67&lt;Thresholds!$B$6,"Low SOH; ","")&amp;IF(H67&gt;=Thresholds!$B$7,"High IR; ","")&amp;IF(K67&gt;=Thresholds!$B$9,"High Imbalance; ","")&amp;IF(L67&gt;Thresholds!$B$11,"Sustained Heat 24h; ","")&amp;IF(G67&gt;Thresholds!$B$10,"High Temp; ",""))</f>
        <v/>
      </c>
    </row>
    <row r="68" spans="1:18" x14ac:dyDescent="0.3">
      <c r="A68" s="10" t="s">
        <v>139</v>
      </c>
      <c r="B68" s="10" t="s">
        <v>71</v>
      </c>
      <c r="C68" s="10">
        <v>48</v>
      </c>
      <c r="D68" s="10">
        <v>40</v>
      </c>
      <c r="E68" s="10">
        <v>53.8</v>
      </c>
      <c r="F68" s="10">
        <v>85.4</v>
      </c>
      <c r="G68" s="10">
        <v>38</v>
      </c>
      <c r="H68" s="10">
        <v>58.6</v>
      </c>
      <c r="I68" s="10">
        <v>955</v>
      </c>
      <c r="J68" s="10">
        <v>0.42</v>
      </c>
      <c r="K68" s="10">
        <v>32.5</v>
      </c>
      <c r="L68" s="10">
        <v>45.6</v>
      </c>
      <c r="M68" s="10">
        <v>0.88300000000000001</v>
      </c>
      <c r="N68" s="10" t="s">
        <v>72</v>
      </c>
      <c r="O68" s="11" t="str">
        <f>IF(OR(F68&lt;Thresholds!$B$6,H68&gt;=Thresholds!$B$7,K68&gt;=Thresholds!$B$9,L68&gt;Thresholds!$B$11,G68&gt;Thresholds!$B$10),"ISOLATE",IF(AND(F68&gt;=Thresholds!$B$5,K68&lt;=Thresholds!$B$8),"SAFE","DEGRADE/USE"))</f>
        <v>ISOLATE</v>
      </c>
      <c r="P68" s="12">
        <f>Thresholds!$B$14*MIN(100-F68,40)/40+Thresholds!$B$15*MIN(H68,90)/90+Thresholds!$B$16*MIN(K68,100)/100+Thresholds!$B$17*MIN(I68,1600)/1600+Thresholds!$B$18*MIN(J68,5)/5+Thresholds!$B$19*MAX(0,G68-25)/25</f>
        <v>44.54152777777778</v>
      </c>
      <c r="Q68" s="11" t="str">
        <f>IF(P68&gt;Thresholds!$B$13,"High Risk",IF(P68&gt;Thresholds!$B$12,"Moderate Risk","Low Risk"))</f>
        <v>Moderate Risk</v>
      </c>
      <c r="R68" s="11" t="str">
        <f>TRIM(IF(F68&lt;Thresholds!$B$6,"Low SOH; ","")&amp;IF(H68&gt;=Thresholds!$B$7,"High IR; ","")&amp;IF(K68&gt;=Thresholds!$B$9,"High Imbalance; ","")&amp;IF(L68&gt;Thresholds!$B$11,"Sustained Heat 24h; ","")&amp;IF(G68&gt;Thresholds!$B$10,"High Temp; ",""))</f>
        <v>Sustained Heat 24h;</v>
      </c>
    </row>
    <row r="69" spans="1:18" x14ac:dyDescent="0.3">
      <c r="A69" s="10" t="s">
        <v>140</v>
      </c>
      <c r="B69" s="10" t="s">
        <v>71</v>
      </c>
      <c r="C69" s="10">
        <v>48</v>
      </c>
      <c r="D69" s="10">
        <v>40</v>
      </c>
      <c r="E69" s="10">
        <v>84.7</v>
      </c>
      <c r="F69" s="10">
        <v>80.099999999999994</v>
      </c>
      <c r="G69" s="10">
        <v>27.8</v>
      </c>
      <c r="H69" s="10">
        <v>58.8</v>
      </c>
      <c r="I69" s="10">
        <v>747</v>
      </c>
      <c r="J69" s="10">
        <v>3.55</v>
      </c>
      <c r="K69" s="10">
        <v>47.1</v>
      </c>
      <c r="L69" s="10">
        <v>34.6</v>
      </c>
      <c r="M69" s="10">
        <v>1.3009999999999999</v>
      </c>
      <c r="N69" s="10" t="s">
        <v>72</v>
      </c>
      <c r="O69" s="11" t="str">
        <f>IF(OR(F69&lt;Thresholds!$B$6,H69&gt;=Thresholds!$B$7,K69&gt;=Thresholds!$B$9,L69&gt;Thresholds!$B$11,G69&gt;Thresholds!$B$10),"ISOLATE",IF(AND(F69&gt;=Thresholds!$B$5,K69&lt;=Thresholds!$B$8),"SAFE","DEGRADE/USE"))</f>
        <v>SAFE</v>
      </c>
      <c r="P69" s="12">
        <f>Thresholds!$B$14*MIN(100-F69,40)/40+Thresholds!$B$15*MIN(H69,90)/90+Thresholds!$B$16*MIN(K69,100)/100+Thresholds!$B$17*MIN(I69,1600)/1600+Thresholds!$B$18*MIN(J69,5)/5+Thresholds!$B$19*MAX(0,G69-25)/25</f>
        <v>51.944583333333341</v>
      </c>
      <c r="Q69" s="11" t="str">
        <f>IF(P69&gt;Thresholds!$B$13,"High Risk",IF(P69&gt;Thresholds!$B$12,"Moderate Risk","Low Risk"))</f>
        <v>Moderate Risk</v>
      </c>
      <c r="R69" s="11" t="str">
        <f>TRIM(IF(F69&lt;Thresholds!$B$6,"Low SOH; ","")&amp;IF(H69&gt;=Thresholds!$B$7,"High IR; ","")&amp;IF(K69&gt;=Thresholds!$B$9,"High Imbalance; ","")&amp;IF(L69&gt;Thresholds!$B$11,"Sustained Heat 24h; ","")&amp;IF(G69&gt;Thresholds!$B$10,"High Temp; ",""))</f>
        <v/>
      </c>
    </row>
    <row r="70" spans="1:18" x14ac:dyDescent="0.3">
      <c r="A70" s="10" t="s">
        <v>141</v>
      </c>
      <c r="B70" s="10" t="s">
        <v>71</v>
      </c>
      <c r="C70" s="10">
        <v>48</v>
      </c>
      <c r="D70" s="10">
        <v>40</v>
      </c>
      <c r="E70" s="10">
        <v>76.2</v>
      </c>
      <c r="F70" s="10">
        <v>72.7</v>
      </c>
      <c r="G70" s="10">
        <v>31.4</v>
      </c>
      <c r="H70" s="10">
        <v>66.8</v>
      </c>
      <c r="I70" s="10">
        <v>1342</v>
      </c>
      <c r="J70" s="10">
        <v>0.28000000000000003</v>
      </c>
      <c r="K70" s="10">
        <v>55.2</v>
      </c>
      <c r="L70" s="10">
        <v>36.4</v>
      </c>
      <c r="M70" s="10">
        <v>1.0629999999999999</v>
      </c>
      <c r="N70" s="10" t="s">
        <v>72</v>
      </c>
      <c r="O70" s="11" t="str">
        <f>IF(OR(F70&lt;Thresholds!$B$6,H70&gt;=Thresholds!$B$7,K70&gt;=Thresholds!$B$9,L70&gt;Thresholds!$B$11,G70&gt;Thresholds!$B$10),"ISOLATE",IF(AND(F70&gt;=Thresholds!$B$5,K70&lt;=Thresholds!$B$8),"SAFE","DEGRADE/USE"))</f>
        <v>DEGRADE/USE</v>
      </c>
      <c r="P70" s="12">
        <f>Thresholds!$B$14*MIN(100-F70,40)/40+Thresholds!$B$15*MIN(H70,90)/90+Thresholds!$B$16*MIN(K70,100)/100+Thresholds!$B$17*MIN(I70,1600)/1600+Thresholds!$B$18*MIN(J70,5)/5+Thresholds!$B$19*MAX(0,G70-25)/25</f>
        <v>63.430555555555557</v>
      </c>
      <c r="Q70" s="11" t="str">
        <f>IF(P70&gt;Thresholds!$B$13,"High Risk",IF(P70&gt;Thresholds!$B$12,"Moderate Risk","Low Risk"))</f>
        <v>Moderate Risk</v>
      </c>
      <c r="R70" s="11" t="str">
        <f>TRIM(IF(F70&lt;Thresholds!$B$6,"Low SOH; ","")&amp;IF(H70&gt;=Thresholds!$B$7,"High IR; ","")&amp;IF(K70&gt;=Thresholds!$B$9,"High Imbalance; ","")&amp;IF(L70&gt;Thresholds!$B$11,"Sustained Heat 24h; ","")&amp;IF(G70&gt;Thresholds!$B$10,"High Temp; ",""))</f>
        <v/>
      </c>
    </row>
    <row r="71" spans="1:18" x14ac:dyDescent="0.3">
      <c r="A71" s="10" t="s">
        <v>142</v>
      </c>
      <c r="B71" s="10" t="s">
        <v>71</v>
      </c>
      <c r="C71" s="10">
        <v>48</v>
      </c>
      <c r="D71" s="10">
        <v>40</v>
      </c>
      <c r="E71" s="10">
        <v>94.7</v>
      </c>
      <c r="F71" s="10">
        <v>80.8</v>
      </c>
      <c r="G71" s="10">
        <v>25</v>
      </c>
      <c r="H71" s="10">
        <v>51.2</v>
      </c>
      <c r="I71" s="10">
        <v>489</v>
      </c>
      <c r="J71" s="10">
        <v>2.75</v>
      </c>
      <c r="K71" s="10">
        <v>45.6</v>
      </c>
      <c r="L71" s="10">
        <v>25.7</v>
      </c>
      <c r="M71" s="10">
        <v>1.47</v>
      </c>
      <c r="N71" s="10" t="s">
        <v>72</v>
      </c>
      <c r="O71" s="11" t="str">
        <f>IF(OR(F71&lt;Thresholds!$B$6,H71&gt;=Thresholds!$B$7,K71&gt;=Thresholds!$B$9,L71&gt;Thresholds!$B$11,G71&gt;Thresholds!$B$10),"ISOLATE",IF(AND(F71&gt;=Thresholds!$B$5,K71&lt;=Thresholds!$B$8),"SAFE","DEGRADE/USE"))</f>
        <v>SAFE</v>
      </c>
      <c r="P71" s="12">
        <f>Thresholds!$B$14*MIN(100-F71,40)/40+Thresholds!$B$15*MIN(H71,90)/90+Thresholds!$B$16*MIN(K71,100)/100+Thresholds!$B$17*MIN(I71,1600)/1600+Thresholds!$B$18*MIN(J71,5)/5+Thresholds!$B$19*MAX(0,G71-25)/25</f>
        <v>45.948472222222222</v>
      </c>
      <c r="Q71" s="11" t="str">
        <f>IF(P71&gt;Thresholds!$B$13,"High Risk",IF(P71&gt;Thresholds!$B$12,"Moderate Risk","Low Risk"))</f>
        <v>Moderate Risk</v>
      </c>
      <c r="R71" s="11" t="str">
        <f>TRIM(IF(F71&lt;Thresholds!$B$6,"Low SOH; ","")&amp;IF(H71&gt;=Thresholds!$B$7,"High IR; ","")&amp;IF(K71&gt;=Thresholds!$B$9,"High Imbalance; ","")&amp;IF(L71&gt;Thresholds!$B$11,"Sustained Heat 24h; ","")&amp;IF(G71&gt;Thresholds!$B$10,"High Temp; ",""))</f>
        <v/>
      </c>
    </row>
    <row r="72" spans="1:18" x14ac:dyDescent="0.3">
      <c r="A72" s="10" t="s">
        <v>143</v>
      </c>
      <c r="B72" s="10" t="s">
        <v>71</v>
      </c>
      <c r="C72" s="10">
        <v>48</v>
      </c>
      <c r="D72" s="10">
        <v>40</v>
      </c>
      <c r="E72" s="10">
        <v>25.2</v>
      </c>
      <c r="F72" s="10">
        <v>87.5</v>
      </c>
      <c r="G72" s="10">
        <v>26.6</v>
      </c>
      <c r="H72" s="10">
        <v>50.3</v>
      </c>
      <c r="I72" s="10">
        <v>332</v>
      </c>
      <c r="J72" s="10">
        <v>1.56</v>
      </c>
      <c r="K72" s="10">
        <v>29.1</v>
      </c>
      <c r="L72" s="10">
        <v>27.7</v>
      </c>
      <c r="M72" s="10">
        <v>0.42399999999999999</v>
      </c>
      <c r="N72" s="10" t="s">
        <v>72</v>
      </c>
      <c r="O72" s="11" t="str">
        <f>IF(OR(F72&lt;Thresholds!$B$6,H72&gt;=Thresholds!$B$7,K72&gt;=Thresholds!$B$9,L72&gt;Thresholds!$B$11,G72&gt;Thresholds!$B$10),"ISOLATE",IF(AND(F72&gt;=Thresholds!$B$5,K72&lt;=Thresholds!$B$8),"SAFE","DEGRADE/USE"))</f>
        <v>SAFE</v>
      </c>
      <c r="P72" s="12">
        <f>Thresholds!$B$14*MIN(100-F72,40)/40+Thresholds!$B$15*MIN(H72,90)/90+Thresholds!$B$16*MIN(K72,100)/100+Thresholds!$B$17*MIN(I72,1600)/1600+Thresholds!$B$18*MIN(J72,5)/5+Thresholds!$B$19*MAX(0,G72-25)/25</f>
        <v>34.684722222222227</v>
      </c>
      <c r="Q72" s="11" t="str">
        <f>IF(P72&gt;Thresholds!$B$13,"High Risk",IF(P72&gt;Thresholds!$B$12,"Moderate Risk","Low Risk"))</f>
        <v>Low Risk</v>
      </c>
      <c r="R72" s="11" t="str">
        <f>TRIM(IF(F72&lt;Thresholds!$B$6,"Low SOH; ","")&amp;IF(H72&gt;=Thresholds!$B$7,"High IR; ","")&amp;IF(K72&gt;=Thresholds!$B$9,"High Imbalance; ","")&amp;IF(L72&gt;Thresholds!$B$11,"Sustained Heat 24h; ","")&amp;IF(G72&gt;Thresholds!$B$10,"High Temp; ",""))</f>
        <v/>
      </c>
    </row>
    <row r="73" spans="1:18" x14ac:dyDescent="0.3">
      <c r="A73" s="10" t="s">
        <v>144</v>
      </c>
      <c r="B73" s="10" t="s">
        <v>71</v>
      </c>
      <c r="C73" s="10">
        <v>48</v>
      </c>
      <c r="D73" s="10">
        <v>40</v>
      </c>
      <c r="E73" s="10">
        <v>54.7</v>
      </c>
      <c r="F73" s="10">
        <v>83.9</v>
      </c>
      <c r="G73" s="10">
        <v>28.2</v>
      </c>
      <c r="H73" s="10">
        <v>51.8</v>
      </c>
      <c r="I73" s="10">
        <v>370</v>
      </c>
      <c r="J73" s="10">
        <v>3.94</v>
      </c>
      <c r="K73" s="10">
        <v>32</v>
      </c>
      <c r="L73" s="10">
        <v>32.9</v>
      </c>
      <c r="M73" s="10">
        <v>0.88100000000000001</v>
      </c>
      <c r="N73" s="10" t="s">
        <v>72</v>
      </c>
      <c r="O73" s="11" t="str">
        <f>IF(OR(F73&lt;Thresholds!$B$6,H73&gt;=Thresholds!$B$7,K73&gt;=Thresholds!$B$9,L73&gt;Thresholds!$B$11,G73&gt;Thresholds!$B$10),"ISOLATE",IF(AND(F73&gt;=Thresholds!$B$5,K73&lt;=Thresholds!$B$8),"SAFE","DEGRADE/USE"))</f>
        <v>SAFE</v>
      </c>
      <c r="P73" s="12">
        <f>Thresholds!$B$14*MIN(100-F73,40)/40+Thresholds!$B$15*MIN(H73,90)/90+Thresholds!$B$16*MIN(K73,100)/100+Thresholds!$B$17*MIN(I73,1600)/1600+Thresholds!$B$18*MIN(J73,5)/5+Thresholds!$B$19*MAX(0,G73-25)/25</f>
        <v>41.768888888888881</v>
      </c>
      <c r="Q73" s="11" t="str">
        <f>IF(P73&gt;Thresholds!$B$13,"High Risk",IF(P73&gt;Thresholds!$B$12,"Moderate Risk","Low Risk"))</f>
        <v>Moderate Risk</v>
      </c>
      <c r="R73" s="11" t="str">
        <f>TRIM(IF(F73&lt;Thresholds!$B$6,"Low SOH; ","")&amp;IF(H73&gt;=Thresholds!$B$7,"High IR; ","")&amp;IF(K73&gt;=Thresholds!$B$9,"High Imbalance; ","")&amp;IF(L73&gt;Thresholds!$B$11,"Sustained Heat 24h; ","")&amp;IF(G73&gt;Thresholds!$B$10,"High Temp; ",""))</f>
        <v/>
      </c>
    </row>
    <row r="74" spans="1:18" x14ac:dyDescent="0.3">
      <c r="A74" s="10" t="s">
        <v>145</v>
      </c>
      <c r="B74" s="10" t="s">
        <v>71</v>
      </c>
      <c r="C74" s="10">
        <v>48</v>
      </c>
      <c r="D74" s="10">
        <v>40</v>
      </c>
      <c r="E74" s="10">
        <v>78.8</v>
      </c>
      <c r="F74" s="10">
        <v>88.3</v>
      </c>
      <c r="G74" s="10">
        <v>33.799999999999997</v>
      </c>
      <c r="H74" s="10">
        <v>50</v>
      </c>
      <c r="I74" s="10">
        <v>723</v>
      </c>
      <c r="J74" s="10">
        <v>0.94</v>
      </c>
      <c r="K74" s="10">
        <v>18.2</v>
      </c>
      <c r="L74" s="10">
        <v>34.200000000000003</v>
      </c>
      <c r="M74" s="10">
        <v>1.3360000000000001</v>
      </c>
      <c r="N74" s="10" t="s">
        <v>72</v>
      </c>
      <c r="O74" s="11" t="str">
        <f>IF(OR(F74&lt;Thresholds!$B$6,H74&gt;=Thresholds!$B$7,K74&gt;=Thresholds!$B$9,L74&gt;Thresholds!$B$11,G74&gt;Thresholds!$B$10),"ISOLATE",IF(AND(F74&gt;=Thresholds!$B$5,K74&lt;=Thresholds!$B$8),"SAFE","DEGRADE/USE"))</f>
        <v>SAFE</v>
      </c>
      <c r="P74" s="12">
        <f>Thresholds!$B$14*MIN(100-F74,40)/40+Thresholds!$B$15*MIN(H74,90)/90+Thresholds!$B$16*MIN(K74,100)/100+Thresholds!$B$17*MIN(I74,1600)/1600+Thresholds!$B$18*MIN(J74,5)/5+Thresholds!$B$19*MAX(0,G74-25)/25</f>
        <v>34.985138888888883</v>
      </c>
      <c r="Q74" s="11" t="str">
        <f>IF(P74&gt;Thresholds!$B$13,"High Risk",IF(P74&gt;Thresholds!$B$12,"Moderate Risk","Low Risk"))</f>
        <v>Low Risk</v>
      </c>
      <c r="R74" s="11" t="str">
        <f>TRIM(IF(F74&lt;Thresholds!$B$6,"Low SOH; ","")&amp;IF(H74&gt;=Thresholds!$B$7,"High IR; ","")&amp;IF(K74&gt;=Thresholds!$B$9,"High Imbalance; ","")&amp;IF(L74&gt;Thresholds!$B$11,"Sustained Heat 24h; ","")&amp;IF(G74&gt;Thresholds!$B$10,"High Temp; ",""))</f>
        <v/>
      </c>
    </row>
    <row r="75" spans="1:18" x14ac:dyDescent="0.3">
      <c r="A75" s="10" t="s">
        <v>146</v>
      </c>
      <c r="B75" s="10" t="s">
        <v>71</v>
      </c>
      <c r="C75" s="10">
        <v>48</v>
      </c>
      <c r="D75" s="10">
        <v>40</v>
      </c>
      <c r="E75" s="10">
        <v>100</v>
      </c>
      <c r="F75" s="10">
        <v>65.099999999999994</v>
      </c>
      <c r="G75" s="10">
        <v>36.200000000000003</v>
      </c>
      <c r="H75" s="10">
        <v>76.599999999999994</v>
      </c>
      <c r="I75" s="10">
        <v>1574</v>
      </c>
      <c r="J75" s="10">
        <v>4.28</v>
      </c>
      <c r="K75" s="10">
        <v>78.5</v>
      </c>
      <c r="L75" s="10">
        <v>43.7</v>
      </c>
      <c r="M75" s="10">
        <v>1.2490000000000001</v>
      </c>
      <c r="N75" s="10" t="s">
        <v>72</v>
      </c>
      <c r="O75" s="11" t="str">
        <f>IF(OR(F75&lt;Thresholds!$B$6,H75&gt;=Thresholds!$B$7,K75&gt;=Thresholds!$B$9,L75&gt;Thresholds!$B$11,G75&gt;Thresholds!$B$10),"ISOLATE",IF(AND(F75&gt;=Thresholds!$B$5,K75&lt;=Thresholds!$B$8),"SAFE","DEGRADE/USE"))</f>
        <v>DEGRADE/USE</v>
      </c>
      <c r="P75" s="12">
        <f>Thresholds!$B$14*MIN(100-F75,40)/40+Thresholds!$B$15*MIN(H75,90)/90+Thresholds!$B$16*MIN(K75,100)/100+Thresholds!$B$17*MIN(I75,1600)/1600+Thresholds!$B$18*MIN(J75,5)/5+Thresholds!$B$19*MAX(0,G75-25)/25</f>
        <v>83.872777777777785</v>
      </c>
      <c r="Q75" s="11" t="str">
        <f>IF(P75&gt;Thresholds!$B$13,"High Risk",IF(P75&gt;Thresholds!$B$12,"Moderate Risk","Low Risk"))</f>
        <v>High Risk</v>
      </c>
      <c r="R75" s="11" t="str">
        <f>TRIM(IF(F75&lt;Thresholds!$B$6,"Low SOH; ","")&amp;IF(H75&gt;=Thresholds!$B$7,"High IR; ","")&amp;IF(K75&gt;=Thresholds!$B$9,"High Imbalance; ","")&amp;IF(L75&gt;Thresholds!$B$11,"Sustained Heat 24h; ","")&amp;IF(G75&gt;Thresholds!$B$10,"High Temp; ",""))</f>
        <v/>
      </c>
    </row>
    <row r="76" spans="1:18" x14ac:dyDescent="0.3">
      <c r="A76" s="10" t="s">
        <v>147</v>
      </c>
      <c r="B76" s="10" t="s">
        <v>71</v>
      </c>
      <c r="C76" s="10">
        <v>48</v>
      </c>
      <c r="D76" s="10">
        <v>40</v>
      </c>
      <c r="E76" s="10">
        <v>58.2</v>
      </c>
      <c r="F76" s="10">
        <v>77</v>
      </c>
      <c r="G76" s="10">
        <v>28.8</v>
      </c>
      <c r="H76" s="10">
        <v>64.7</v>
      </c>
      <c r="I76" s="10">
        <v>903</v>
      </c>
      <c r="J76" s="10">
        <v>3.84</v>
      </c>
      <c r="K76" s="10">
        <v>48.5</v>
      </c>
      <c r="L76" s="10">
        <v>35.6</v>
      </c>
      <c r="M76" s="10">
        <v>0.86099999999999999</v>
      </c>
      <c r="N76" s="10" t="s">
        <v>72</v>
      </c>
      <c r="O76" s="11" t="str">
        <f>IF(OR(F76&lt;Thresholds!$B$6,H76&gt;=Thresholds!$B$7,K76&gt;=Thresholds!$B$9,L76&gt;Thresholds!$B$11,G76&gt;Thresholds!$B$10),"ISOLATE",IF(AND(F76&gt;=Thresholds!$B$5,K76&lt;=Thresholds!$B$8),"SAFE","DEGRADE/USE"))</f>
        <v>DEGRADE/USE</v>
      </c>
      <c r="P76" s="12">
        <f>Thresholds!$B$14*MIN(100-F76,40)/40+Thresholds!$B$15*MIN(H76,90)/90+Thresholds!$B$16*MIN(K76,100)/100+Thresholds!$B$17*MIN(I76,1600)/1600+Thresholds!$B$18*MIN(J76,5)/5+Thresholds!$B$19*MAX(0,G76-25)/25</f>
        <v>58.040972222222216</v>
      </c>
      <c r="Q76" s="11" t="str">
        <f>IF(P76&gt;Thresholds!$B$13,"High Risk",IF(P76&gt;Thresholds!$B$12,"Moderate Risk","Low Risk"))</f>
        <v>Moderate Risk</v>
      </c>
      <c r="R76" s="11" t="str">
        <f>TRIM(IF(F76&lt;Thresholds!$B$6,"Low SOH; ","")&amp;IF(H76&gt;=Thresholds!$B$7,"High IR; ","")&amp;IF(K76&gt;=Thresholds!$B$9,"High Imbalance; ","")&amp;IF(L76&gt;Thresholds!$B$11,"Sustained Heat 24h; ","")&amp;IF(G76&gt;Thresholds!$B$10,"High Temp; ",""))</f>
        <v/>
      </c>
    </row>
    <row r="77" spans="1:18" x14ac:dyDescent="0.3">
      <c r="A77" s="10" t="s">
        <v>148</v>
      </c>
      <c r="B77" s="10" t="s">
        <v>71</v>
      </c>
      <c r="C77" s="10">
        <v>48</v>
      </c>
      <c r="D77" s="10">
        <v>40</v>
      </c>
      <c r="E77" s="10">
        <v>37.4</v>
      </c>
      <c r="F77" s="10">
        <v>75.900000000000006</v>
      </c>
      <c r="G77" s="10">
        <v>34.799999999999997</v>
      </c>
      <c r="H77" s="10">
        <v>74</v>
      </c>
      <c r="I77" s="10">
        <v>1048</v>
      </c>
      <c r="J77" s="10">
        <v>4.88</v>
      </c>
      <c r="K77" s="10">
        <v>41.3</v>
      </c>
      <c r="L77" s="10">
        <v>37.1</v>
      </c>
      <c r="M77" s="10">
        <v>0.54500000000000004</v>
      </c>
      <c r="N77" s="10" t="s">
        <v>72</v>
      </c>
      <c r="O77" s="11" t="str">
        <f>IF(OR(F77&lt;Thresholds!$B$6,H77&gt;=Thresholds!$B$7,K77&gt;=Thresholds!$B$9,L77&gt;Thresholds!$B$11,G77&gt;Thresholds!$B$10),"ISOLATE",IF(AND(F77&gt;=Thresholds!$B$5,K77&lt;=Thresholds!$B$8),"SAFE","DEGRADE/USE"))</f>
        <v>DEGRADE/USE</v>
      </c>
      <c r="P77" s="12">
        <f>Thresholds!$B$14*MIN(100-F77,40)/40+Thresholds!$B$15*MIN(H77,90)/90+Thresholds!$B$16*MIN(K77,100)/100+Thresholds!$B$17*MIN(I77,1600)/1600+Thresholds!$B$18*MIN(J77,5)/5+Thresholds!$B$19*MAX(0,G77-25)/25</f>
        <v>63.293055555555547</v>
      </c>
      <c r="Q77" s="11" t="str">
        <f>IF(P77&gt;Thresholds!$B$13,"High Risk",IF(P77&gt;Thresholds!$B$12,"Moderate Risk","Low Risk"))</f>
        <v>Moderate Risk</v>
      </c>
      <c r="R77" s="11" t="str">
        <f>TRIM(IF(F77&lt;Thresholds!$B$6,"Low SOH; ","")&amp;IF(H77&gt;=Thresholds!$B$7,"High IR; ","")&amp;IF(K77&gt;=Thresholds!$B$9,"High Imbalance; ","")&amp;IF(L77&gt;Thresholds!$B$11,"Sustained Heat 24h; ","")&amp;IF(G77&gt;Thresholds!$B$10,"High Temp; ",""))</f>
        <v/>
      </c>
    </row>
    <row r="78" spans="1:18" x14ac:dyDescent="0.3">
      <c r="A78" s="10" t="s">
        <v>149</v>
      </c>
      <c r="B78" s="10" t="s">
        <v>71</v>
      </c>
      <c r="C78" s="10">
        <v>48</v>
      </c>
      <c r="D78" s="10">
        <v>40</v>
      </c>
      <c r="E78" s="10">
        <v>60.9</v>
      </c>
      <c r="F78" s="10">
        <v>64.400000000000006</v>
      </c>
      <c r="G78" s="10">
        <v>30.5</v>
      </c>
      <c r="H78" s="10">
        <v>73.599999999999994</v>
      </c>
      <c r="I78" s="10">
        <v>1354</v>
      </c>
      <c r="J78" s="10">
        <v>2.82</v>
      </c>
      <c r="K78" s="10">
        <v>62.6</v>
      </c>
      <c r="L78" s="10">
        <v>37.700000000000003</v>
      </c>
      <c r="M78" s="10">
        <v>0.753</v>
      </c>
      <c r="N78" s="10" t="s">
        <v>80</v>
      </c>
      <c r="O78" s="11" t="str">
        <f>IF(OR(F78&lt;Thresholds!$B$6,H78&gt;=Thresholds!$B$7,K78&gt;=Thresholds!$B$9,L78&gt;Thresholds!$B$11,G78&gt;Thresholds!$B$10),"ISOLATE",IF(AND(F78&gt;=Thresholds!$B$5,K78&lt;=Thresholds!$B$8),"SAFE","DEGRADE/USE"))</f>
        <v>DEGRADE/USE</v>
      </c>
      <c r="P78" s="12">
        <f>Thresholds!$B$14*MIN(100-F78,40)/40+Thresholds!$B$15*MIN(H78,90)/90+Thresholds!$B$16*MIN(K78,100)/100+Thresholds!$B$17*MIN(I78,1600)/1600+Thresholds!$B$18*MIN(J78,5)/5+Thresholds!$B$19*MAX(0,G78-25)/25</f>
        <v>76.496944444444424</v>
      </c>
      <c r="Q78" s="11" t="str">
        <f>IF(P78&gt;Thresholds!$B$13,"High Risk",IF(P78&gt;Thresholds!$B$12,"Moderate Risk","Low Risk"))</f>
        <v>High Risk</v>
      </c>
      <c r="R78" s="11" t="str">
        <f>TRIM(IF(F78&lt;Thresholds!$B$6,"Low SOH; ","")&amp;IF(H78&gt;=Thresholds!$B$7,"High IR; ","")&amp;IF(K78&gt;=Thresholds!$B$9,"High Imbalance; ","")&amp;IF(L78&gt;Thresholds!$B$11,"Sustained Heat 24h; ","")&amp;IF(G78&gt;Thresholds!$B$10,"High Temp; ",""))</f>
        <v/>
      </c>
    </row>
    <row r="79" spans="1:18" x14ac:dyDescent="0.3">
      <c r="A79" s="10" t="s">
        <v>150</v>
      </c>
      <c r="B79" s="10" t="s">
        <v>71</v>
      </c>
      <c r="C79" s="10">
        <v>48</v>
      </c>
      <c r="D79" s="10">
        <v>40</v>
      </c>
      <c r="E79" s="10">
        <v>71</v>
      </c>
      <c r="F79" s="10">
        <v>78.5</v>
      </c>
      <c r="G79" s="10">
        <v>34.5</v>
      </c>
      <c r="H79" s="10">
        <v>62.4</v>
      </c>
      <c r="I79" s="10">
        <v>855</v>
      </c>
      <c r="J79" s="10">
        <v>1.26</v>
      </c>
      <c r="K79" s="10">
        <v>49.3</v>
      </c>
      <c r="L79" s="10">
        <v>39.5</v>
      </c>
      <c r="M79" s="10">
        <v>1.07</v>
      </c>
      <c r="N79" s="10" t="s">
        <v>72</v>
      </c>
      <c r="O79" s="11" t="str">
        <f>IF(OR(F79&lt;Thresholds!$B$6,H79&gt;=Thresholds!$B$7,K79&gt;=Thresholds!$B$9,L79&gt;Thresholds!$B$11,G79&gt;Thresholds!$B$10),"ISOLATE",IF(AND(F79&gt;=Thresholds!$B$5,K79&lt;=Thresholds!$B$8),"SAFE","DEGRADE/USE"))</f>
        <v>DEGRADE/USE</v>
      </c>
      <c r="P79" s="12">
        <f>Thresholds!$B$14*MIN(100-F79,40)/40+Thresholds!$B$15*MIN(H79,90)/90+Thresholds!$B$16*MIN(K79,100)/100+Thresholds!$B$17*MIN(I79,1600)/1600+Thresholds!$B$18*MIN(J79,5)/5+Thresholds!$B$19*MAX(0,G79-25)/25</f>
        <v>54.509583333333325</v>
      </c>
      <c r="Q79" s="11" t="str">
        <f>IF(P79&gt;Thresholds!$B$13,"High Risk",IF(P79&gt;Thresholds!$B$12,"Moderate Risk","Low Risk"))</f>
        <v>Moderate Risk</v>
      </c>
      <c r="R79" s="11" t="str">
        <f>TRIM(IF(F79&lt;Thresholds!$B$6,"Low SOH; ","")&amp;IF(H79&gt;=Thresholds!$B$7,"High IR; ","")&amp;IF(K79&gt;=Thresholds!$B$9,"High Imbalance; ","")&amp;IF(L79&gt;Thresholds!$B$11,"Sustained Heat 24h; ","")&amp;IF(G79&gt;Thresholds!$B$10,"High Temp; ",""))</f>
        <v/>
      </c>
    </row>
    <row r="80" spans="1:18" x14ac:dyDescent="0.3">
      <c r="A80" s="10" t="s">
        <v>151</v>
      </c>
      <c r="B80" s="10" t="s">
        <v>71</v>
      </c>
      <c r="C80" s="10">
        <v>48</v>
      </c>
      <c r="D80" s="10">
        <v>40</v>
      </c>
      <c r="E80" s="10">
        <v>88.7</v>
      </c>
      <c r="F80" s="10">
        <v>72.2</v>
      </c>
      <c r="G80" s="10">
        <v>27.1</v>
      </c>
      <c r="H80" s="10">
        <v>67.3</v>
      </c>
      <c r="I80" s="10">
        <v>932</v>
      </c>
      <c r="J80" s="10">
        <v>3.77</v>
      </c>
      <c r="K80" s="10">
        <v>51.7</v>
      </c>
      <c r="L80" s="10">
        <v>31.3</v>
      </c>
      <c r="M80" s="10">
        <v>1.23</v>
      </c>
      <c r="N80" s="10" t="s">
        <v>72</v>
      </c>
      <c r="O80" s="11" t="str">
        <f>IF(OR(F80&lt;Thresholds!$B$6,H80&gt;=Thresholds!$B$7,K80&gt;=Thresholds!$B$9,L80&gt;Thresholds!$B$11,G80&gt;Thresholds!$B$10),"ISOLATE",IF(AND(F80&gt;=Thresholds!$B$5,K80&lt;=Thresholds!$B$8),"SAFE","DEGRADE/USE"))</f>
        <v>DEGRADE/USE</v>
      </c>
      <c r="P80" s="12">
        <f>Thresholds!$B$14*MIN(100-F80,40)/40+Thresholds!$B$15*MIN(H80,90)/90+Thresholds!$B$16*MIN(K80,100)/100+Thresholds!$B$17*MIN(I80,1600)/1600+Thresholds!$B$18*MIN(J80,5)/5+Thresholds!$B$19*MAX(0,G80-25)/25</f>
        <v>63.374444444444443</v>
      </c>
      <c r="Q80" s="11" t="str">
        <f>IF(P80&gt;Thresholds!$B$13,"High Risk",IF(P80&gt;Thresholds!$B$12,"Moderate Risk","Low Risk"))</f>
        <v>Moderate Risk</v>
      </c>
      <c r="R80" s="11" t="str">
        <f>TRIM(IF(F80&lt;Thresholds!$B$6,"Low SOH; ","")&amp;IF(H80&gt;=Thresholds!$B$7,"High IR; ","")&amp;IF(K80&gt;=Thresholds!$B$9,"High Imbalance; ","")&amp;IF(L80&gt;Thresholds!$B$11,"Sustained Heat 24h; ","")&amp;IF(G80&gt;Thresholds!$B$10,"High Temp; ",""))</f>
        <v/>
      </c>
    </row>
    <row r="81" spans="1:18" x14ac:dyDescent="0.3">
      <c r="A81" s="10" t="s">
        <v>152</v>
      </c>
      <c r="B81" s="10" t="s">
        <v>71</v>
      </c>
      <c r="C81" s="10">
        <v>48</v>
      </c>
      <c r="D81" s="10">
        <v>40</v>
      </c>
      <c r="E81" s="10">
        <v>95</v>
      </c>
      <c r="F81" s="10">
        <v>90.8</v>
      </c>
      <c r="G81" s="10">
        <v>32.4</v>
      </c>
      <c r="H81" s="10">
        <v>47.3</v>
      </c>
      <c r="I81" s="10">
        <v>218</v>
      </c>
      <c r="J81" s="10">
        <v>2.77</v>
      </c>
      <c r="K81" s="10">
        <v>28.2</v>
      </c>
      <c r="L81" s="10">
        <v>37.1</v>
      </c>
      <c r="M81" s="10">
        <v>1.655</v>
      </c>
      <c r="N81" s="10" t="s">
        <v>72</v>
      </c>
      <c r="O81" s="11" t="str">
        <f>IF(OR(F81&lt;Thresholds!$B$6,H81&gt;=Thresholds!$B$7,K81&gt;=Thresholds!$B$9,L81&gt;Thresholds!$B$11,G81&gt;Thresholds!$B$10),"ISOLATE",IF(AND(F81&gt;=Thresholds!$B$5,K81&lt;=Thresholds!$B$8),"SAFE","DEGRADE/USE"))</f>
        <v>SAFE</v>
      </c>
      <c r="P81" s="12">
        <f>Thresholds!$B$14*MIN(100-F81,40)/40+Thresholds!$B$15*MIN(H81,90)/90+Thresholds!$B$16*MIN(K81,100)/100+Thresholds!$B$17*MIN(I81,1600)/1600+Thresholds!$B$18*MIN(J81,5)/5+Thresholds!$B$19*MAX(0,G81-25)/25</f>
        <v>32.441388888888888</v>
      </c>
      <c r="Q81" s="11" t="str">
        <f>IF(P81&gt;Thresholds!$B$13,"High Risk",IF(P81&gt;Thresholds!$B$12,"Moderate Risk","Low Risk"))</f>
        <v>Low Risk</v>
      </c>
      <c r="R81" s="11" t="str">
        <f>TRIM(IF(F81&lt;Thresholds!$B$6,"Low SOH; ","")&amp;IF(H81&gt;=Thresholds!$B$7,"High IR; ","")&amp;IF(K81&gt;=Thresholds!$B$9,"High Imbalance; ","")&amp;IF(L81&gt;Thresholds!$B$11,"Sustained Heat 24h; ","")&amp;IF(G81&gt;Thresholds!$B$10,"High Temp; ",""))</f>
        <v/>
      </c>
    </row>
    <row r="82" spans="1:18" x14ac:dyDescent="0.3">
      <c r="A82" s="10" t="s">
        <v>153</v>
      </c>
      <c r="B82" s="10" t="s">
        <v>71</v>
      </c>
      <c r="C82" s="10">
        <v>48</v>
      </c>
      <c r="D82" s="10">
        <v>40</v>
      </c>
      <c r="E82" s="10">
        <v>86.8</v>
      </c>
      <c r="F82" s="10">
        <v>85.4</v>
      </c>
      <c r="G82" s="10">
        <v>30.3</v>
      </c>
      <c r="H82" s="10">
        <v>55.8</v>
      </c>
      <c r="I82" s="10">
        <v>498</v>
      </c>
      <c r="J82" s="10">
        <v>0.3</v>
      </c>
      <c r="K82" s="10">
        <v>46.5</v>
      </c>
      <c r="L82" s="10">
        <v>38.1</v>
      </c>
      <c r="M82" s="10">
        <v>1.423</v>
      </c>
      <c r="N82" s="10" t="s">
        <v>72</v>
      </c>
      <c r="O82" s="11" t="str">
        <f>IF(OR(F82&lt;Thresholds!$B$6,H82&gt;=Thresholds!$B$7,K82&gt;=Thresholds!$B$9,L82&gt;Thresholds!$B$11,G82&gt;Thresholds!$B$10),"ISOLATE",IF(AND(F82&gt;=Thresholds!$B$5,K82&lt;=Thresholds!$B$8),"SAFE","DEGRADE/USE"))</f>
        <v>SAFE</v>
      </c>
      <c r="P82" s="12">
        <f>Thresholds!$B$14*MIN(100-F82,40)/40+Thresholds!$B$15*MIN(H82,90)/90+Thresholds!$B$16*MIN(K82,100)/100+Thresholds!$B$17*MIN(I82,1600)/1600+Thresholds!$B$18*MIN(J82,5)/5+Thresholds!$B$19*MAX(0,G82-25)/25</f>
        <v>42.047499999999992</v>
      </c>
      <c r="Q82" s="11" t="str">
        <f>IF(P82&gt;Thresholds!$B$13,"High Risk",IF(P82&gt;Thresholds!$B$12,"Moderate Risk","Low Risk"))</f>
        <v>Moderate Risk</v>
      </c>
      <c r="R82" s="11" t="str">
        <f>TRIM(IF(F82&lt;Thresholds!$B$6,"Low SOH; ","")&amp;IF(H82&gt;=Thresholds!$B$7,"High IR; ","")&amp;IF(K82&gt;=Thresholds!$B$9,"High Imbalance; ","")&amp;IF(L82&gt;Thresholds!$B$11,"Sustained Heat 24h; ","")&amp;IF(G82&gt;Thresholds!$B$10,"High Temp; ",""))</f>
        <v/>
      </c>
    </row>
    <row r="83" spans="1:18" x14ac:dyDescent="0.3">
      <c r="A83" s="10" t="s">
        <v>154</v>
      </c>
      <c r="B83" s="10" t="s">
        <v>71</v>
      </c>
      <c r="C83" s="10">
        <v>48</v>
      </c>
      <c r="D83" s="10">
        <v>40</v>
      </c>
      <c r="E83" s="10">
        <v>86</v>
      </c>
      <c r="F83" s="10">
        <v>88</v>
      </c>
      <c r="G83" s="10">
        <v>30</v>
      </c>
      <c r="H83" s="10">
        <v>77.400000000000006</v>
      </c>
      <c r="I83" s="10">
        <v>1463</v>
      </c>
      <c r="J83" s="10">
        <v>1.07</v>
      </c>
      <c r="K83" s="10">
        <v>118</v>
      </c>
      <c r="L83" s="10">
        <v>35.799999999999997</v>
      </c>
      <c r="M83" s="10">
        <v>0.94899999999999995</v>
      </c>
      <c r="N83" s="10" t="s">
        <v>80</v>
      </c>
      <c r="O83" s="11" t="str">
        <f>IF(OR(F83&lt;Thresholds!$B$6,H83&gt;=Thresholds!$B$7,K83&gt;=Thresholds!$B$9,L83&gt;Thresholds!$B$11,G83&gt;Thresholds!$B$10),"ISOLATE",IF(AND(F83&gt;=Thresholds!$B$5,K83&lt;=Thresholds!$B$8),"SAFE","DEGRADE/USE"))</f>
        <v>ISOLATE</v>
      </c>
      <c r="P83" s="12">
        <f>Thresholds!$B$14*MIN(100-F83,40)/40+Thresholds!$B$15*MIN(H83,90)/90+Thresholds!$B$16*MIN(K83,100)/100+Thresholds!$B$17*MIN(I83,1600)/1600+Thresholds!$B$18*MIN(J83,5)/5+Thresholds!$B$19*MAX(0,G83-25)/25</f>
        <v>63.213749999999997</v>
      </c>
      <c r="Q83" s="11" t="str">
        <f>IF(P83&gt;Thresholds!$B$13,"High Risk",IF(P83&gt;Thresholds!$B$12,"Moderate Risk","Low Risk"))</f>
        <v>Moderate Risk</v>
      </c>
      <c r="R83" s="11" t="str">
        <f>TRIM(IF(F83&lt;Thresholds!$B$6,"Low SOH; ","")&amp;IF(H83&gt;=Thresholds!$B$7,"High IR; ","")&amp;IF(K83&gt;=Thresholds!$B$9,"High Imbalance; ","")&amp;IF(L83&gt;Thresholds!$B$11,"Sustained Heat 24h; ","")&amp;IF(G83&gt;Thresholds!$B$10,"High Temp; ",""))</f>
        <v>High Imbalance;</v>
      </c>
    </row>
    <row r="84" spans="1:18" x14ac:dyDescent="0.3">
      <c r="A84" s="10" t="s">
        <v>155</v>
      </c>
      <c r="B84" s="10" t="s">
        <v>71</v>
      </c>
      <c r="C84" s="10">
        <v>48</v>
      </c>
      <c r="D84" s="10">
        <v>40</v>
      </c>
      <c r="E84" s="10">
        <v>100</v>
      </c>
      <c r="F84" s="10">
        <v>80</v>
      </c>
      <c r="G84" s="10">
        <v>43.5</v>
      </c>
      <c r="H84" s="10">
        <v>61.8</v>
      </c>
      <c r="I84" s="10">
        <v>1195</v>
      </c>
      <c r="J84" s="10">
        <v>1.35</v>
      </c>
      <c r="K84" s="10">
        <v>49.3</v>
      </c>
      <c r="L84" s="10">
        <v>43.7</v>
      </c>
      <c r="M84" s="10">
        <v>1.5349999999999999</v>
      </c>
      <c r="N84" s="10" t="s">
        <v>72</v>
      </c>
      <c r="O84" s="11" t="str">
        <f>IF(OR(F84&lt;Thresholds!$B$6,H84&gt;=Thresholds!$B$7,K84&gt;=Thresholds!$B$9,L84&gt;Thresholds!$B$11,G84&gt;Thresholds!$B$10),"ISOLATE",IF(AND(F84&gt;=Thresholds!$B$5,K84&lt;=Thresholds!$B$8),"SAFE","DEGRADE/USE"))</f>
        <v>SAFE</v>
      </c>
      <c r="P84" s="12">
        <f>Thresholds!$B$14*MIN(100-F84,40)/40+Thresholds!$B$15*MIN(H84,90)/90+Thresholds!$B$16*MIN(K84,100)/100+Thresholds!$B$17*MIN(I84,1600)/1600+Thresholds!$B$18*MIN(J84,5)/5+Thresholds!$B$19*MAX(0,G84-25)/25</f>
        <v>57.045416666666675</v>
      </c>
      <c r="Q84" s="11" t="str">
        <f>IF(P84&gt;Thresholds!$B$13,"High Risk",IF(P84&gt;Thresholds!$B$12,"Moderate Risk","Low Risk"))</f>
        <v>Moderate Risk</v>
      </c>
      <c r="R84" s="11" t="str">
        <f>TRIM(IF(F84&lt;Thresholds!$B$6,"Low SOH; ","")&amp;IF(H84&gt;=Thresholds!$B$7,"High IR; ","")&amp;IF(K84&gt;=Thresholds!$B$9,"High Imbalance; ","")&amp;IF(L84&gt;Thresholds!$B$11,"Sustained Heat 24h; ","")&amp;IF(G84&gt;Thresholds!$B$10,"High Temp; ",""))</f>
        <v/>
      </c>
    </row>
    <row r="85" spans="1:18" x14ac:dyDescent="0.3">
      <c r="A85" s="10" t="s">
        <v>156</v>
      </c>
      <c r="B85" s="10" t="s">
        <v>71</v>
      </c>
      <c r="C85" s="10">
        <v>48</v>
      </c>
      <c r="D85" s="10">
        <v>40</v>
      </c>
      <c r="E85" s="10">
        <v>59.1</v>
      </c>
      <c r="F85" s="10">
        <v>86</v>
      </c>
      <c r="G85" s="10">
        <v>32.5</v>
      </c>
      <c r="H85" s="10">
        <v>55.5</v>
      </c>
      <c r="I85" s="10">
        <v>559</v>
      </c>
      <c r="J85" s="10">
        <v>3.52</v>
      </c>
      <c r="K85" s="10">
        <v>50</v>
      </c>
      <c r="L85" s="10">
        <v>36.299999999999997</v>
      </c>
      <c r="M85" s="10">
        <v>0.97599999999999998</v>
      </c>
      <c r="N85" s="10" t="s">
        <v>72</v>
      </c>
      <c r="O85" s="11" t="str">
        <f>IF(OR(F85&lt;Thresholds!$B$6,H85&gt;=Thresholds!$B$7,K85&gt;=Thresholds!$B$9,L85&gt;Thresholds!$B$11,G85&gt;Thresholds!$B$10),"ISOLATE",IF(AND(F85&gt;=Thresholds!$B$5,K85&lt;=Thresholds!$B$8),"SAFE","DEGRADE/USE"))</f>
        <v>SAFE</v>
      </c>
      <c r="P85" s="12">
        <f>Thresholds!$B$14*MIN(100-F85,40)/40+Thresholds!$B$15*MIN(H85,90)/90+Thresholds!$B$16*MIN(K85,100)/100+Thresholds!$B$17*MIN(I85,1600)/1600+Thresholds!$B$18*MIN(J85,5)/5+Thresholds!$B$19*MAX(0,G85-25)/25</f>
        <v>46.180416666666666</v>
      </c>
      <c r="Q85" s="11" t="str">
        <f>IF(P85&gt;Thresholds!$B$13,"High Risk",IF(P85&gt;Thresholds!$B$12,"Moderate Risk","Low Risk"))</f>
        <v>Moderate Risk</v>
      </c>
      <c r="R85" s="11" t="str">
        <f>TRIM(IF(F85&lt;Thresholds!$B$6,"Low SOH; ","")&amp;IF(H85&gt;=Thresholds!$B$7,"High IR; ","")&amp;IF(K85&gt;=Thresholds!$B$9,"High Imbalance; ","")&amp;IF(L85&gt;Thresholds!$B$11,"Sustained Heat 24h; ","")&amp;IF(G85&gt;Thresholds!$B$10,"High Temp; ",""))</f>
        <v/>
      </c>
    </row>
    <row r="86" spans="1:18" x14ac:dyDescent="0.3">
      <c r="A86" s="10" t="s">
        <v>157</v>
      </c>
      <c r="B86" s="10" t="s">
        <v>71</v>
      </c>
      <c r="C86" s="10">
        <v>48</v>
      </c>
      <c r="D86" s="10">
        <v>40</v>
      </c>
      <c r="E86" s="10">
        <v>72.8</v>
      </c>
      <c r="F86" s="10">
        <v>78.2</v>
      </c>
      <c r="G86" s="10">
        <v>38.1</v>
      </c>
      <c r="H86" s="10">
        <v>66.599999999999994</v>
      </c>
      <c r="I86" s="10">
        <v>975</v>
      </c>
      <c r="J86" s="10">
        <v>4.49</v>
      </c>
      <c r="K86" s="10">
        <v>34.700000000000003</v>
      </c>
      <c r="L86" s="10">
        <v>39.4</v>
      </c>
      <c r="M86" s="10">
        <v>1.093</v>
      </c>
      <c r="N86" s="10" t="s">
        <v>72</v>
      </c>
      <c r="O86" s="11" t="str">
        <f>IF(OR(F86&lt;Thresholds!$B$6,H86&gt;=Thresholds!$B$7,K86&gt;=Thresholds!$B$9,L86&gt;Thresholds!$B$11,G86&gt;Thresholds!$B$10),"ISOLATE",IF(AND(F86&gt;=Thresholds!$B$5,K86&lt;=Thresholds!$B$8),"SAFE","DEGRADE/USE"))</f>
        <v>DEGRADE/USE</v>
      </c>
      <c r="P86" s="12">
        <f>Thresholds!$B$14*MIN(100-F86,40)/40+Thresholds!$B$15*MIN(H86,90)/90+Thresholds!$B$16*MIN(K86,100)/100+Thresholds!$B$17*MIN(I86,1600)/1600+Thresholds!$B$18*MIN(J86,5)/5+Thresholds!$B$19*MAX(0,G86-25)/25</f>
        <v>57.718749999999986</v>
      </c>
      <c r="Q86" s="11" t="str">
        <f>IF(P86&gt;Thresholds!$B$13,"High Risk",IF(P86&gt;Thresholds!$B$12,"Moderate Risk","Low Risk"))</f>
        <v>Moderate Risk</v>
      </c>
      <c r="R86" s="11" t="str">
        <f>TRIM(IF(F86&lt;Thresholds!$B$6,"Low SOH; ","")&amp;IF(H86&gt;=Thresholds!$B$7,"High IR; ","")&amp;IF(K86&gt;=Thresholds!$B$9,"High Imbalance; ","")&amp;IF(L86&gt;Thresholds!$B$11,"Sustained Heat 24h; ","")&amp;IF(G86&gt;Thresholds!$B$10,"High Temp; ",""))</f>
        <v/>
      </c>
    </row>
    <row r="87" spans="1:18" x14ac:dyDescent="0.3">
      <c r="A87" s="10" t="s">
        <v>158</v>
      </c>
      <c r="B87" s="10" t="s">
        <v>71</v>
      </c>
      <c r="C87" s="10">
        <v>48</v>
      </c>
      <c r="D87" s="10">
        <v>40</v>
      </c>
      <c r="E87" s="10">
        <v>84.5</v>
      </c>
      <c r="F87" s="10">
        <v>73.400000000000006</v>
      </c>
      <c r="G87" s="10">
        <v>36.4</v>
      </c>
      <c r="H87" s="10">
        <v>69.599999999999994</v>
      </c>
      <c r="I87" s="10">
        <v>1273</v>
      </c>
      <c r="J87" s="10">
        <v>1</v>
      </c>
      <c r="K87" s="10">
        <v>51.9</v>
      </c>
      <c r="L87" s="10">
        <v>43.4</v>
      </c>
      <c r="M87" s="10">
        <v>1.1910000000000001</v>
      </c>
      <c r="N87" s="10" t="s">
        <v>72</v>
      </c>
      <c r="O87" s="11" t="str">
        <f>IF(OR(F87&lt;Thresholds!$B$6,H87&gt;=Thresholds!$B$7,K87&gt;=Thresholds!$B$9,L87&gt;Thresholds!$B$11,G87&gt;Thresholds!$B$10),"ISOLATE",IF(AND(F87&gt;=Thresholds!$B$5,K87&lt;=Thresholds!$B$8),"SAFE","DEGRADE/USE"))</f>
        <v>DEGRADE/USE</v>
      </c>
      <c r="P87" s="12">
        <f>Thresholds!$B$14*MIN(100-F87,40)/40+Thresholds!$B$15*MIN(H87,90)/90+Thresholds!$B$16*MIN(K87,100)/100+Thresholds!$B$17*MIN(I87,1600)/1600+Thresholds!$B$18*MIN(J87,5)/5+Thresholds!$B$19*MAX(0,G87-25)/25</f>
        <v>64.224583333333328</v>
      </c>
      <c r="Q87" s="11" t="str">
        <f>IF(P87&gt;Thresholds!$B$13,"High Risk",IF(P87&gt;Thresholds!$B$12,"Moderate Risk","Low Risk"))</f>
        <v>Moderate Risk</v>
      </c>
      <c r="R87" s="11" t="str">
        <f>TRIM(IF(F87&lt;Thresholds!$B$6,"Low SOH; ","")&amp;IF(H87&gt;=Thresholds!$B$7,"High IR; ","")&amp;IF(K87&gt;=Thresholds!$B$9,"High Imbalance; ","")&amp;IF(L87&gt;Thresholds!$B$11,"Sustained Heat 24h; ","")&amp;IF(G87&gt;Thresholds!$B$10,"High Temp; ",""))</f>
        <v/>
      </c>
    </row>
    <row r="88" spans="1:18" x14ac:dyDescent="0.3">
      <c r="A88" s="10" t="s">
        <v>159</v>
      </c>
      <c r="B88" s="10" t="s">
        <v>71</v>
      </c>
      <c r="C88" s="10">
        <v>48</v>
      </c>
      <c r="D88" s="10">
        <v>40</v>
      </c>
      <c r="E88" s="10">
        <v>62.7</v>
      </c>
      <c r="F88" s="10">
        <v>89.9</v>
      </c>
      <c r="G88" s="10">
        <v>23.5</v>
      </c>
      <c r="H88" s="10">
        <v>47.8</v>
      </c>
      <c r="I88" s="10">
        <v>123</v>
      </c>
      <c r="J88" s="10">
        <v>2.37</v>
      </c>
      <c r="K88" s="10">
        <v>29.9</v>
      </c>
      <c r="L88" s="10">
        <v>30.4</v>
      </c>
      <c r="M88" s="10">
        <v>1.083</v>
      </c>
      <c r="N88" s="10" t="s">
        <v>72</v>
      </c>
      <c r="O88" s="11" t="str">
        <f>IF(OR(F88&lt;Thresholds!$B$6,H88&gt;=Thresholds!$B$7,K88&gt;=Thresholds!$B$9,L88&gt;Thresholds!$B$11,G88&gt;Thresholds!$B$10),"ISOLATE",IF(AND(F88&gt;=Thresholds!$B$5,K88&lt;=Thresholds!$B$8),"SAFE","DEGRADE/USE"))</f>
        <v>SAFE</v>
      </c>
      <c r="P88" s="12">
        <f>Thresholds!$B$14*MIN(100-F88,40)/40+Thresholds!$B$15*MIN(H88,90)/90+Thresholds!$B$16*MIN(K88,100)/100+Thresholds!$B$17*MIN(I88,1600)/1600+Thresholds!$B$18*MIN(J88,5)/5+Thresholds!$B$19*MAX(0,G88-25)/25</f>
        <v>31.234027777777776</v>
      </c>
      <c r="Q88" s="11" t="str">
        <f>IF(P88&gt;Thresholds!$B$13,"High Risk",IF(P88&gt;Thresholds!$B$12,"Moderate Risk","Low Risk"))</f>
        <v>Low Risk</v>
      </c>
      <c r="R88" s="11" t="str">
        <f>TRIM(IF(F88&lt;Thresholds!$B$6,"Low SOH; ","")&amp;IF(H88&gt;=Thresholds!$B$7,"High IR; ","")&amp;IF(K88&gt;=Thresholds!$B$9,"High Imbalance; ","")&amp;IF(L88&gt;Thresholds!$B$11,"Sustained Heat 24h; ","")&amp;IF(G88&gt;Thresholds!$B$10,"High Temp; ",""))</f>
        <v/>
      </c>
    </row>
    <row r="89" spans="1:18" x14ac:dyDescent="0.3">
      <c r="A89" s="10" t="s">
        <v>160</v>
      </c>
      <c r="B89" s="10" t="s">
        <v>71</v>
      </c>
      <c r="C89" s="10">
        <v>48</v>
      </c>
      <c r="D89" s="10">
        <v>40</v>
      </c>
      <c r="E89" s="10">
        <v>68.400000000000006</v>
      </c>
      <c r="F89" s="10">
        <v>68.2</v>
      </c>
      <c r="G89" s="10">
        <v>33.1</v>
      </c>
      <c r="H89" s="10">
        <v>74.8</v>
      </c>
      <c r="I89" s="10">
        <v>1452</v>
      </c>
      <c r="J89" s="10">
        <v>3.23</v>
      </c>
      <c r="K89" s="10">
        <v>71.400000000000006</v>
      </c>
      <c r="L89" s="10">
        <v>33.200000000000003</v>
      </c>
      <c r="M89" s="10">
        <v>0.89600000000000002</v>
      </c>
      <c r="N89" s="10" t="s">
        <v>72</v>
      </c>
      <c r="O89" s="11" t="str">
        <f>IF(OR(F89&lt;Thresholds!$B$6,H89&gt;=Thresholds!$B$7,K89&gt;=Thresholds!$B$9,L89&gt;Thresholds!$B$11,G89&gt;Thresholds!$B$10),"ISOLATE",IF(AND(F89&gt;=Thresholds!$B$5,K89&lt;=Thresholds!$B$8),"SAFE","DEGRADE/USE"))</f>
        <v>DEGRADE/USE</v>
      </c>
      <c r="P89" s="12">
        <f>Thresholds!$B$14*MIN(100-F89,40)/40+Thresholds!$B$15*MIN(H89,90)/90+Thresholds!$B$16*MIN(K89,100)/100+Thresholds!$B$17*MIN(I89,1600)/1600+Thresholds!$B$18*MIN(J89,5)/5+Thresholds!$B$19*MAX(0,G89-25)/25</f>
        <v>76.807777777777787</v>
      </c>
      <c r="Q89" s="11" t="str">
        <f>IF(P89&gt;Thresholds!$B$13,"High Risk",IF(P89&gt;Thresholds!$B$12,"Moderate Risk","Low Risk"))</f>
        <v>High Risk</v>
      </c>
      <c r="R89" s="11" t="str">
        <f>TRIM(IF(F89&lt;Thresholds!$B$6,"Low SOH; ","")&amp;IF(H89&gt;=Thresholds!$B$7,"High IR; ","")&amp;IF(K89&gt;=Thresholds!$B$9,"High Imbalance; ","")&amp;IF(L89&gt;Thresholds!$B$11,"Sustained Heat 24h; ","")&amp;IF(G89&gt;Thresholds!$B$10,"High Temp; ",""))</f>
        <v/>
      </c>
    </row>
    <row r="90" spans="1:18" x14ac:dyDescent="0.3">
      <c r="A90" s="10" t="s">
        <v>161</v>
      </c>
      <c r="B90" s="10" t="s">
        <v>71</v>
      </c>
      <c r="C90" s="10">
        <v>48</v>
      </c>
      <c r="D90" s="10">
        <v>40</v>
      </c>
      <c r="E90" s="10">
        <v>85.6</v>
      </c>
      <c r="F90" s="10">
        <v>80.400000000000006</v>
      </c>
      <c r="G90" s="10">
        <v>36.5</v>
      </c>
      <c r="H90" s="10">
        <v>61.6</v>
      </c>
      <c r="I90" s="10">
        <v>465</v>
      </c>
      <c r="J90" s="10">
        <v>4.2300000000000004</v>
      </c>
      <c r="K90" s="10">
        <v>30.8</v>
      </c>
      <c r="L90" s="10">
        <v>41.7</v>
      </c>
      <c r="M90" s="10">
        <v>1.321</v>
      </c>
      <c r="N90" s="10" t="s">
        <v>72</v>
      </c>
      <c r="O90" s="11" t="str">
        <f>IF(OR(F90&lt;Thresholds!$B$6,H90&gt;=Thresholds!$B$7,K90&gt;=Thresholds!$B$9,L90&gt;Thresholds!$B$11,G90&gt;Thresholds!$B$10),"ISOLATE",IF(AND(F90&gt;=Thresholds!$B$5,K90&lt;=Thresholds!$B$8),"SAFE","DEGRADE/USE"))</f>
        <v>SAFE</v>
      </c>
      <c r="P90" s="12">
        <f>Thresholds!$B$14*MIN(100-F90,40)/40+Thresholds!$B$15*MIN(H90,90)/90+Thresholds!$B$16*MIN(K90,100)/100+Thresholds!$B$17*MIN(I90,1600)/1600+Thresholds!$B$18*MIN(J90,5)/5+Thresholds!$B$19*MAX(0,G90-25)/25</f>
        <v>49.857361111111103</v>
      </c>
      <c r="Q90" s="11" t="str">
        <f>IF(P90&gt;Thresholds!$B$13,"High Risk",IF(P90&gt;Thresholds!$B$12,"Moderate Risk","Low Risk"))</f>
        <v>Moderate Risk</v>
      </c>
      <c r="R90" s="11" t="str">
        <f>TRIM(IF(F90&lt;Thresholds!$B$6,"Low SOH; ","")&amp;IF(H90&gt;=Thresholds!$B$7,"High IR; ","")&amp;IF(K90&gt;=Thresholds!$B$9,"High Imbalance; ","")&amp;IF(L90&gt;Thresholds!$B$11,"Sustained Heat 24h; ","")&amp;IF(G90&gt;Thresholds!$B$10,"High Temp; ",""))</f>
        <v/>
      </c>
    </row>
    <row r="91" spans="1:18" x14ac:dyDescent="0.3">
      <c r="A91" s="10" t="s">
        <v>162</v>
      </c>
      <c r="B91" s="10" t="s">
        <v>71</v>
      </c>
      <c r="C91" s="10">
        <v>48</v>
      </c>
      <c r="D91" s="10">
        <v>40</v>
      </c>
      <c r="E91" s="10">
        <v>55.1</v>
      </c>
      <c r="F91" s="10">
        <v>84.4</v>
      </c>
      <c r="G91" s="10">
        <v>23.4</v>
      </c>
      <c r="H91" s="10">
        <v>48.4</v>
      </c>
      <c r="I91" s="10">
        <v>361</v>
      </c>
      <c r="J91" s="10">
        <v>4.41</v>
      </c>
      <c r="K91" s="10">
        <v>47.8</v>
      </c>
      <c r="L91" s="10">
        <v>25.6</v>
      </c>
      <c r="M91" s="10">
        <v>0.89300000000000002</v>
      </c>
      <c r="N91" s="10" t="s">
        <v>72</v>
      </c>
      <c r="O91" s="11" t="str">
        <f>IF(OR(F91&lt;Thresholds!$B$6,H91&gt;=Thresholds!$B$7,K91&gt;=Thresholds!$B$9,L91&gt;Thresholds!$B$11,G91&gt;Thresholds!$B$10),"ISOLATE",IF(AND(F91&gt;=Thresholds!$B$5,K91&lt;=Thresholds!$B$8),"SAFE","DEGRADE/USE"))</f>
        <v>SAFE</v>
      </c>
      <c r="P91" s="12">
        <f>Thresholds!$B$14*MIN(100-F91,40)/40+Thresholds!$B$15*MIN(H91,90)/90+Thresholds!$B$16*MIN(K91,100)/100+Thresholds!$B$17*MIN(I91,1600)/1600+Thresholds!$B$18*MIN(J91,5)/5+Thresholds!$B$19*MAX(0,G91-25)/25</f>
        <v>43.320694444444442</v>
      </c>
      <c r="Q91" s="11" t="str">
        <f>IF(P91&gt;Thresholds!$B$13,"High Risk",IF(P91&gt;Thresholds!$B$12,"Moderate Risk","Low Risk"))</f>
        <v>Moderate Risk</v>
      </c>
      <c r="R91" s="11" t="str">
        <f>TRIM(IF(F91&lt;Thresholds!$B$6,"Low SOH; ","")&amp;IF(H91&gt;=Thresholds!$B$7,"High IR; ","")&amp;IF(K91&gt;=Thresholds!$B$9,"High Imbalance; ","")&amp;IF(L91&gt;Thresholds!$B$11,"Sustained Heat 24h; ","")&amp;IF(G91&gt;Thresholds!$B$10,"High Temp; ",""))</f>
        <v/>
      </c>
    </row>
    <row r="92" spans="1:18" x14ac:dyDescent="0.3">
      <c r="A92" s="10" t="s">
        <v>163</v>
      </c>
      <c r="B92" s="10" t="s">
        <v>71</v>
      </c>
      <c r="C92" s="10">
        <v>48</v>
      </c>
      <c r="D92" s="10">
        <v>40</v>
      </c>
      <c r="E92" s="10">
        <v>69.3</v>
      </c>
      <c r="F92" s="10">
        <v>68.7</v>
      </c>
      <c r="G92" s="10">
        <v>27.1</v>
      </c>
      <c r="H92" s="10">
        <v>78.2</v>
      </c>
      <c r="I92" s="10">
        <v>1447</v>
      </c>
      <c r="J92" s="10">
        <v>2.4500000000000002</v>
      </c>
      <c r="K92" s="10">
        <v>71.7</v>
      </c>
      <c r="L92" s="10">
        <v>34.799999999999997</v>
      </c>
      <c r="M92" s="10">
        <v>0.91400000000000003</v>
      </c>
      <c r="N92" s="10" t="s">
        <v>72</v>
      </c>
      <c r="O92" s="11" t="str">
        <f>IF(OR(F92&lt;Thresholds!$B$6,H92&gt;=Thresholds!$B$7,K92&gt;=Thresholds!$B$9,L92&gt;Thresholds!$B$11,G92&gt;Thresholds!$B$10),"ISOLATE",IF(AND(F92&gt;=Thresholds!$B$5,K92&lt;=Thresholds!$B$8),"SAFE","DEGRADE/USE"))</f>
        <v>ISOLATE</v>
      </c>
      <c r="P92" s="12">
        <f>Thresholds!$B$14*MIN(100-F92,40)/40+Thresholds!$B$15*MIN(H92,90)/90+Thresholds!$B$16*MIN(K92,100)/100+Thresholds!$B$17*MIN(I92,1600)/1600+Thresholds!$B$18*MIN(J92,5)/5+Thresholds!$B$19*MAX(0,G92-25)/25</f>
        <v>75.363472222222228</v>
      </c>
      <c r="Q92" s="11" t="str">
        <f>IF(P92&gt;Thresholds!$B$13,"High Risk",IF(P92&gt;Thresholds!$B$12,"Moderate Risk","Low Risk"))</f>
        <v>High Risk</v>
      </c>
      <c r="R92" s="11" t="str">
        <f>TRIM(IF(F92&lt;Thresholds!$B$6,"Low SOH; ","")&amp;IF(H92&gt;=Thresholds!$B$7,"High IR; ","")&amp;IF(K92&gt;=Thresholds!$B$9,"High Imbalance; ","")&amp;IF(L92&gt;Thresholds!$B$11,"Sustained Heat 24h; ","")&amp;IF(G92&gt;Thresholds!$B$10,"High Temp; ",""))</f>
        <v>High IR;</v>
      </c>
    </row>
    <row r="93" spans="1:18" x14ac:dyDescent="0.3">
      <c r="A93" s="10" t="s">
        <v>164</v>
      </c>
      <c r="B93" s="10" t="s">
        <v>71</v>
      </c>
      <c r="C93" s="10">
        <v>48</v>
      </c>
      <c r="D93" s="10">
        <v>40</v>
      </c>
      <c r="E93" s="10">
        <v>69.900000000000006</v>
      </c>
      <c r="F93" s="10">
        <v>71.400000000000006</v>
      </c>
      <c r="G93" s="10">
        <v>48.3</v>
      </c>
      <c r="H93" s="10">
        <v>72.2</v>
      </c>
      <c r="I93" s="10">
        <v>1565</v>
      </c>
      <c r="J93" s="10">
        <v>1.03</v>
      </c>
      <c r="K93" s="10">
        <v>64.900000000000006</v>
      </c>
      <c r="L93" s="10">
        <v>49.8</v>
      </c>
      <c r="M93" s="10">
        <v>0.95899999999999996</v>
      </c>
      <c r="N93" s="10" t="s">
        <v>80</v>
      </c>
      <c r="O93" s="11" t="str">
        <f>IF(OR(F93&lt;Thresholds!$B$6,H93&gt;=Thresholds!$B$7,K93&gt;=Thresholds!$B$9,L93&gt;Thresholds!$B$11,G93&gt;Thresholds!$B$10),"ISOLATE",IF(AND(F93&gt;=Thresholds!$B$5,K93&lt;=Thresholds!$B$8),"SAFE","DEGRADE/USE"))</f>
        <v>ISOLATE</v>
      </c>
      <c r="P93" s="12">
        <f>Thresholds!$B$14*MIN(100-F93,40)/40+Thresholds!$B$15*MIN(H93,90)/90+Thresholds!$B$16*MIN(K93,100)/100+Thresholds!$B$17*MIN(I93,1600)/1600+Thresholds!$B$18*MIN(J93,5)/5+Thresholds!$B$19*MAX(0,G93-25)/25</f>
        <v>73.53180555555555</v>
      </c>
      <c r="Q93" s="11" t="str">
        <f>IF(P93&gt;Thresholds!$B$13,"High Risk",IF(P93&gt;Thresholds!$B$12,"Moderate Risk","Low Risk"))</f>
        <v>High Risk</v>
      </c>
      <c r="R93" s="11" t="str">
        <f>TRIM(IF(F93&lt;Thresholds!$B$6,"Low SOH; ","")&amp;IF(H93&gt;=Thresholds!$B$7,"High IR; ","")&amp;IF(K93&gt;=Thresholds!$B$9,"High Imbalance; ","")&amp;IF(L93&gt;Thresholds!$B$11,"Sustained Heat 24h; ","")&amp;IF(G93&gt;Thresholds!$B$10,"High Temp; ",""))</f>
        <v>Sustained Heat 24h; High Temp;</v>
      </c>
    </row>
    <row r="94" spans="1:18" x14ac:dyDescent="0.3">
      <c r="A94" s="10" t="s">
        <v>165</v>
      </c>
      <c r="B94" s="10" t="s">
        <v>71</v>
      </c>
      <c r="C94" s="10">
        <v>48</v>
      </c>
      <c r="D94" s="10">
        <v>40</v>
      </c>
      <c r="E94" s="10">
        <v>100</v>
      </c>
      <c r="F94" s="10">
        <v>96.7</v>
      </c>
      <c r="G94" s="10">
        <v>31.6</v>
      </c>
      <c r="H94" s="10">
        <v>45.7</v>
      </c>
      <c r="I94" s="10">
        <v>300</v>
      </c>
      <c r="J94" s="10">
        <v>1.1399999999999999</v>
      </c>
      <c r="K94" s="10">
        <v>20.399999999999999</v>
      </c>
      <c r="L94" s="10">
        <v>33</v>
      </c>
      <c r="M94" s="10">
        <v>1.857</v>
      </c>
      <c r="N94" s="10" t="s">
        <v>72</v>
      </c>
      <c r="O94" s="11" t="str">
        <f>IF(OR(F94&lt;Thresholds!$B$6,H94&gt;=Thresholds!$B$7,K94&gt;=Thresholds!$B$9,L94&gt;Thresholds!$B$11,G94&gt;Thresholds!$B$10),"ISOLATE",IF(AND(F94&gt;=Thresholds!$B$5,K94&lt;=Thresholds!$B$8),"SAFE","DEGRADE/USE"))</f>
        <v>SAFE</v>
      </c>
      <c r="P94" s="12">
        <f>Thresholds!$B$14*MIN(100-F94,40)/40+Thresholds!$B$15*MIN(H94,90)/90+Thresholds!$B$16*MIN(K94,100)/100+Thresholds!$B$17*MIN(I94,1600)/1600+Thresholds!$B$18*MIN(J94,5)/5+Thresholds!$B$19*MAX(0,G94-25)/25</f>
        <v>23.996944444444445</v>
      </c>
      <c r="Q94" s="11" t="str">
        <f>IF(P94&gt;Thresholds!$B$13,"High Risk",IF(P94&gt;Thresholds!$B$12,"Moderate Risk","Low Risk"))</f>
        <v>Low Risk</v>
      </c>
      <c r="R94" s="11" t="str">
        <f>TRIM(IF(F94&lt;Thresholds!$B$6,"Low SOH; ","")&amp;IF(H94&gt;=Thresholds!$B$7,"High IR; ","")&amp;IF(K94&gt;=Thresholds!$B$9,"High Imbalance; ","")&amp;IF(L94&gt;Thresholds!$B$11,"Sustained Heat 24h; ","")&amp;IF(G94&gt;Thresholds!$B$10,"High Temp; ",""))</f>
        <v/>
      </c>
    </row>
    <row r="95" spans="1:18" x14ac:dyDescent="0.3">
      <c r="A95" s="10" t="s">
        <v>166</v>
      </c>
      <c r="B95" s="10" t="s">
        <v>71</v>
      </c>
      <c r="C95" s="10">
        <v>48</v>
      </c>
      <c r="D95" s="10">
        <v>40</v>
      </c>
      <c r="E95" s="10">
        <v>89.4</v>
      </c>
      <c r="F95" s="10">
        <v>71.900000000000006</v>
      </c>
      <c r="G95" s="10">
        <v>29</v>
      </c>
      <c r="H95" s="10">
        <v>71.900000000000006</v>
      </c>
      <c r="I95" s="10">
        <v>1434</v>
      </c>
      <c r="J95" s="10">
        <v>3.28</v>
      </c>
      <c r="K95" s="10">
        <v>56</v>
      </c>
      <c r="L95" s="10">
        <v>35.4</v>
      </c>
      <c r="M95" s="10">
        <v>1.2330000000000001</v>
      </c>
      <c r="N95" s="10" t="s">
        <v>72</v>
      </c>
      <c r="O95" s="11" t="str">
        <f>IF(OR(F95&lt;Thresholds!$B$6,H95&gt;=Thresholds!$B$7,K95&gt;=Thresholds!$B$9,L95&gt;Thresholds!$B$11,G95&gt;Thresholds!$B$10),"ISOLATE",IF(AND(F95&gt;=Thresholds!$B$5,K95&lt;=Thresholds!$B$8),"SAFE","DEGRADE/USE"))</f>
        <v>DEGRADE/USE</v>
      </c>
      <c r="P95" s="12">
        <f>Thresholds!$B$14*MIN(100-F95,40)/40+Thresholds!$B$15*MIN(H95,90)/90+Thresholds!$B$16*MIN(K95,100)/100+Thresholds!$B$17*MIN(I95,1600)/1600+Thresholds!$B$18*MIN(J95,5)/5+Thresholds!$B$19*MAX(0,G95-25)/25</f>
        <v>68.802222222222227</v>
      </c>
      <c r="Q95" s="11" t="str">
        <f>IF(P95&gt;Thresholds!$B$13,"High Risk",IF(P95&gt;Thresholds!$B$12,"Moderate Risk","Low Risk"))</f>
        <v>High Risk</v>
      </c>
      <c r="R95" s="11" t="str">
        <f>TRIM(IF(F95&lt;Thresholds!$B$6,"Low SOH; ","")&amp;IF(H95&gt;=Thresholds!$B$7,"High IR; ","")&amp;IF(K95&gt;=Thresholds!$B$9,"High Imbalance; ","")&amp;IF(L95&gt;Thresholds!$B$11,"Sustained Heat 24h; ","")&amp;IF(G95&gt;Thresholds!$B$10,"High Temp; ",""))</f>
        <v/>
      </c>
    </row>
    <row r="96" spans="1:18" x14ac:dyDescent="0.3">
      <c r="A96" s="10" t="s">
        <v>167</v>
      </c>
      <c r="B96" s="10" t="s">
        <v>71</v>
      </c>
      <c r="C96" s="10">
        <v>48</v>
      </c>
      <c r="D96" s="10">
        <v>40</v>
      </c>
      <c r="E96" s="10">
        <v>59.7</v>
      </c>
      <c r="F96" s="10">
        <v>81.5</v>
      </c>
      <c r="G96" s="10">
        <v>31.3</v>
      </c>
      <c r="H96" s="10">
        <v>53.7</v>
      </c>
      <c r="I96" s="10">
        <v>896</v>
      </c>
      <c r="J96" s="10">
        <v>2.62</v>
      </c>
      <c r="K96" s="10">
        <v>52.7</v>
      </c>
      <c r="L96" s="10">
        <v>39.1</v>
      </c>
      <c r="M96" s="10">
        <v>0.93400000000000005</v>
      </c>
      <c r="N96" s="10" t="s">
        <v>72</v>
      </c>
      <c r="O96" s="11" t="str">
        <f>IF(OR(F96&lt;Thresholds!$B$6,H96&gt;=Thresholds!$B$7,K96&gt;=Thresholds!$B$9,L96&gt;Thresholds!$B$11,G96&gt;Thresholds!$B$10),"ISOLATE",IF(AND(F96&gt;=Thresholds!$B$5,K96&lt;=Thresholds!$B$8),"SAFE","DEGRADE/USE"))</f>
        <v>DEGRADE/USE</v>
      </c>
      <c r="P96" s="12">
        <f>Thresholds!$B$14*MIN(100-F96,40)/40+Thresholds!$B$15*MIN(H96,90)/90+Thresholds!$B$16*MIN(K96,100)/100+Thresholds!$B$17*MIN(I96,1600)/1600+Thresholds!$B$18*MIN(J96,5)/5+Thresholds!$B$19*MAX(0,G96-25)/25</f>
        <v>51.12416666666666</v>
      </c>
      <c r="Q96" s="11" t="str">
        <f>IF(P96&gt;Thresholds!$B$13,"High Risk",IF(P96&gt;Thresholds!$B$12,"Moderate Risk","Low Risk"))</f>
        <v>Moderate Risk</v>
      </c>
      <c r="R96" s="11" t="str">
        <f>TRIM(IF(F96&lt;Thresholds!$B$6,"Low SOH; ","")&amp;IF(H96&gt;=Thresholds!$B$7,"High IR; ","")&amp;IF(K96&gt;=Thresholds!$B$9,"High Imbalance; ","")&amp;IF(L96&gt;Thresholds!$B$11,"Sustained Heat 24h; ","")&amp;IF(G96&gt;Thresholds!$B$10,"High Temp; ",""))</f>
        <v/>
      </c>
    </row>
    <row r="97" spans="1:18" x14ac:dyDescent="0.3">
      <c r="A97" s="10" t="s">
        <v>168</v>
      </c>
      <c r="B97" s="10" t="s">
        <v>71</v>
      </c>
      <c r="C97" s="10">
        <v>48</v>
      </c>
      <c r="D97" s="10">
        <v>40</v>
      </c>
      <c r="E97" s="10">
        <v>88.2</v>
      </c>
      <c r="F97" s="10">
        <v>81.8</v>
      </c>
      <c r="G97" s="10">
        <v>26.9</v>
      </c>
      <c r="H97" s="10">
        <v>56.2</v>
      </c>
      <c r="I97" s="10">
        <v>923</v>
      </c>
      <c r="J97" s="10">
        <v>0.49</v>
      </c>
      <c r="K97" s="10">
        <v>44.7</v>
      </c>
      <c r="L97" s="10">
        <v>29.9</v>
      </c>
      <c r="M97" s="10">
        <v>1.385</v>
      </c>
      <c r="N97" s="10" t="s">
        <v>72</v>
      </c>
      <c r="O97" s="11" t="str">
        <f>IF(OR(F97&lt;Thresholds!$B$6,H97&gt;=Thresholds!$B$7,K97&gt;=Thresholds!$B$9,L97&gt;Thresholds!$B$11,G97&gt;Thresholds!$B$10),"ISOLATE",IF(AND(F97&gt;=Thresholds!$B$5,K97&lt;=Thresholds!$B$8),"SAFE","DEGRADE/USE"))</f>
        <v>SAFE</v>
      </c>
      <c r="P97" s="12">
        <f>Thresholds!$B$14*MIN(100-F97,40)/40+Thresholds!$B$15*MIN(H97,90)/90+Thresholds!$B$16*MIN(K97,100)/100+Thresholds!$B$17*MIN(I97,1600)/1600+Thresholds!$B$18*MIN(J97,5)/5+Thresholds!$B$19*MAX(0,G97-25)/25</f>
        <v>47.114861111111111</v>
      </c>
      <c r="Q97" s="11" t="str">
        <f>IF(P97&gt;Thresholds!$B$13,"High Risk",IF(P97&gt;Thresholds!$B$12,"Moderate Risk","Low Risk"))</f>
        <v>Moderate Risk</v>
      </c>
      <c r="R97" s="11" t="str">
        <f>TRIM(IF(F97&lt;Thresholds!$B$6,"Low SOH; ","")&amp;IF(H97&gt;=Thresholds!$B$7,"High IR; ","")&amp;IF(K97&gt;=Thresholds!$B$9,"High Imbalance; ","")&amp;IF(L97&gt;Thresholds!$B$11,"Sustained Heat 24h; ","")&amp;IF(G97&gt;Thresholds!$B$10,"High Temp; ",""))</f>
        <v/>
      </c>
    </row>
    <row r="98" spans="1:18" x14ac:dyDescent="0.3">
      <c r="A98" s="10" t="s">
        <v>169</v>
      </c>
      <c r="B98" s="10" t="s">
        <v>71</v>
      </c>
      <c r="C98" s="10">
        <v>48</v>
      </c>
      <c r="D98" s="10">
        <v>40</v>
      </c>
      <c r="E98" s="10">
        <v>52.6</v>
      </c>
      <c r="F98" s="10">
        <v>78.599999999999994</v>
      </c>
      <c r="G98" s="10">
        <v>31.7</v>
      </c>
      <c r="H98" s="10">
        <v>63.1</v>
      </c>
      <c r="I98" s="10">
        <v>775</v>
      </c>
      <c r="J98" s="10">
        <v>4.7699999999999996</v>
      </c>
      <c r="K98" s="10">
        <v>45.5</v>
      </c>
      <c r="L98" s="10">
        <v>38</v>
      </c>
      <c r="M98" s="10">
        <v>0.79300000000000004</v>
      </c>
      <c r="N98" s="10" t="s">
        <v>72</v>
      </c>
      <c r="O98" s="11" t="str">
        <f>IF(OR(F98&lt;Thresholds!$B$6,H98&gt;=Thresholds!$B$7,K98&gt;=Thresholds!$B$9,L98&gt;Thresholds!$B$11,G98&gt;Thresholds!$B$10),"ISOLATE",IF(AND(F98&gt;=Thresholds!$B$5,K98&lt;=Thresholds!$B$8),"SAFE","DEGRADE/USE"))</f>
        <v>DEGRADE/USE</v>
      </c>
      <c r="P98" s="12">
        <f>Thresholds!$B$14*MIN(100-F98,40)/40+Thresholds!$B$15*MIN(H98,90)/90+Thresholds!$B$16*MIN(K98,100)/100+Thresholds!$B$17*MIN(I98,1600)/1600+Thresholds!$B$18*MIN(J98,5)/5+Thresholds!$B$19*MAX(0,G98-25)/25</f>
        <v>56.306527777777788</v>
      </c>
      <c r="Q98" s="11" t="str">
        <f>IF(P98&gt;Thresholds!$B$13,"High Risk",IF(P98&gt;Thresholds!$B$12,"Moderate Risk","Low Risk"))</f>
        <v>Moderate Risk</v>
      </c>
      <c r="R98" s="11" t="str">
        <f>TRIM(IF(F98&lt;Thresholds!$B$6,"Low SOH; ","")&amp;IF(H98&gt;=Thresholds!$B$7,"High IR; ","")&amp;IF(K98&gt;=Thresholds!$B$9,"High Imbalance; ","")&amp;IF(L98&gt;Thresholds!$B$11,"Sustained Heat 24h; ","")&amp;IF(G98&gt;Thresholds!$B$10,"High Temp; ",""))</f>
        <v/>
      </c>
    </row>
    <row r="99" spans="1:18" x14ac:dyDescent="0.3">
      <c r="A99" s="10" t="s">
        <v>170</v>
      </c>
      <c r="B99" s="10" t="s">
        <v>71</v>
      </c>
      <c r="C99" s="10">
        <v>48</v>
      </c>
      <c r="D99" s="10">
        <v>40</v>
      </c>
      <c r="E99" s="10">
        <v>81.8</v>
      </c>
      <c r="F99" s="10">
        <v>71.099999999999994</v>
      </c>
      <c r="G99" s="10">
        <v>32.299999999999997</v>
      </c>
      <c r="H99" s="10">
        <v>65.7</v>
      </c>
      <c r="I99" s="10">
        <v>1169</v>
      </c>
      <c r="J99" s="10">
        <v>3.37</v>
      </c>
      <c r="K99" s="10">
        <v>67.2</v>
      </c>
      <c r="L99" s="10">
        <v>33</v>
      </c>
      <c r="M99" s="10">
        <v>1.1160000000000001</v>
      </c>
      <c r="N99" s="10" t="s">
        <v>72</v>
      </c>
      <c r="O99" s="11" t="str">
        <f>IF(OR(F99&lt;Thresholds!$B$6,H99&gt;=Thresholds!$B$7,K99&gt;=Thresholds!$B$9,L99&gt;Thresholds!$B$11,G99&gt;Thresholds!$B$10),"ISOLATE",IF(AND(F99&gt;=Thresholds!$B$5,K99&lt;=Thresholds!$B$8),"SAFE","DEGRADE/USE"))</f>
        <v>DEGRADE/USE</v>
      </c>
      <c r="P99" s="12">
        <f>Thresholds!$B$14*MIN(100-F99,40)/40+Thresholds!$B$15*MIN(H99,90)/90+Thresholds!$B$16*MIN(K99,100)/100+Thresholds!$B$17*MIN(I99,1600)/1600+Thresholds!$B$18*MIN(J99,5)/5+Thresholds!$B$19*MAX(0,G99-25)/25</f>
        <v>69.11375000000001</v>
      </c>
      <c r="Q99" s="11" t="str">
        <f>IF(P99&gt;Thresholds!$B$13,"High Risk",IF(P99&gt;Thresholds!$B$12,"Moderate Risk","Low Risk"))</f>
        <v>High Risk</v>
      </c>
      <c r="R99" s="11" t="str">
        <f>TRIM(IF(F99&lt;Thresholds!$B$6,"Low SOH; ","")&amp;IF(H99&gt;=Thresholds!$B$7,"High IR; ","")&amp;IF(K99&gt;=Thresholds!$B$9,"High Imbalance; ","")&amp;IF(L99&gt;Thresholds!$B$11,"Sustained Heat 24h; ","")&amp;IF(G99&gt;Thresholds!$B$10,"High Temp; ",""))</f>
        <v/>
      </c>
    </row>
    <row r="100" spans="1:18" x14ac:dyDescent="0.3">
      <c r="A100" s="10" t="s">
        <v>171</v>
      </c>
      <c r="B100" s="10" t="s">
        <v>71</v>
      </c>
      <c r="C100" s="10">
        <v>48</v>
      </c>
      <c r="D100" s="10">
        <v>40</v>
      </c>
      <c r="E100" s="10">
        <v>41.1</v>
      </c>
      <c r="F100" s="10">
        <v>71.7</v>
      </c>
      <c r="G100" s="10">
        <v>29.8</v>
      </c>
      <c r="H100" s="10">
        <v>76.900000000000006</v>
      </c>
      <c r="I100" s="10">
        <v>963</v>
      </c>
      <c r="J100" s="10">
        <v>4.0999999999999996</v>
      </c>
      <c r="K100" s="10">
        <v>51.2</v>
      </c>
      <c r="L100" s="10">
        <v>33.700000000000003</v>
      </c>
      <c r="M100" s="10">
        <v>0.56599999999999995</v>
      </c>
      <c r="N100" s="10" t="s">
        <v>72</v>
      </c>
      <c r="O100" s="11" t="str">
        <f>IF(OR(F100&lt;Thresholds!$B$6,H100&gt;=Thresholds!$B$7,K100&gt;=Thresholds!$B$9,L100&gt;Thresholds!$B$11,G100&gt;Thresholds!$B$10),"ISOLATE",IF(AND(F100&gt;=Thresholds!$B$5,K100&lt;=Thresholds!$B$8),"SAFE","DEGRADE/USE"))</f>
        <v>DEGRADE/USE</v>
      </c>
      <c r="P100" s="12">
        <f>Thresholds!$B$14*MIN(100-F100,40)/40+Thresholds!$B$15*MIN(H100,90)/90+Thresholds!$B$16*MIN(K100,100)/100+Thresholds!$B$17*MIN(I100,1600)/1600+Thresholds!$B$18*MIN(J100,5)/5+Thresholds!$B$19*MAX(0,G100-25)/25</f>
        <v>67.442361111111097</v>
      </c>
      <c r="Q100" s="11" t="str">
        <f>IF(P100&gt;Thresholds!$B$13,"High Risk",IF(P100&gt;Thresholds!$B$12,"Moderate Risk","Low Risk"))</f>
        <v>High Risk</v>
      </c>
      <c r="R100" s="11" t="str">
        <f>TRIM(IF(F100&lt;Thresholds!$B$6,"Low SOH; ","")&amp;IF(H100&gt;=Thresholds!$B$7,"High IR; ","")&amp;IF(K100&gt;=Thresholds!$B$9,"High Imbalance; ","")&amp;IF(L100&gt;Thresholds!$B$11,"Sustained Heat 24h; ","")&amp;IF(G100&gt;Thresholds!$B$10,"High Temp; ",""))</f>
        <v/>
      </c>
    </row>
    <row r="101" spans="1:18" x14ac:dyDescent="0.3">
      <c r="A101" s="10" t="s">
        <v>172</v>
      </c>
      <c r="B101" s="10" t="s">
        <v>71</v>
      </c>
      <c r="C101" s="10">
        <v>48</v>
      </c>
      <c r="D101" s="10">
        <v>40</v>
      </c>
      <c r="E101" s="10">
        <v>87.9</v>
      </c>
      <c r="F101" s="10">
        <v>82.9</v>
      </c>
      <c r="G101" s="10">
        <v>38.299999999999997</v>
      </c>
      <c r="H101" s="10">
        <v>52.3</v>
      </c>
      <c r="I101" s="10">
        <v>472</v>
      </c>
      <c r="J101" s="10">
        <v>2</v>
      </c>
      <c r="K101" s="10">
        <v>37</v>
      </c>
      <c r="L101" s="10">
        <v>44.4</v>
      </c>
      <c r="M101" s="10">
        <v>1.399</v>
      </c>
      <c r="N101" s="10" t="s">
        <v>72</v>
      </c>
      <c r="O101" s="11" t="str">
        <f>IF(OR(F101&lt;Thresholds!$B$6,H101&gt;=Thresholds!$B$7,K101&gt;=Thresholds!$B$9,L101&gt;Thresholds!$B$11,G101&gt;Thresholds!$B$10),"ISOLATE",IF(AND(F101&gt;=Thresholds!$B$5,K101&lt;=Thresholds!$B$8),"SAFE","DEGRADE/USE"))</f>
        <v>SAFE</v>
      </c>
      <c r="P101" s="12">
        <f>Thresholds!$B$14*MIN(100-F101,40)/40+Thresholds!$B$15*MIN(H101,90)/90+Thresholds!$B$16*MIN(K101,100)/100+Thresholds!$B$17*MIN(I101,1600)/1600+Thresholds!$B$18*MIN(J101,5)/5+Thresholds!$B$19*MAX(0,G101-25)/25</f>
        <v>44.500277777777775</v>
      </c>
      <c r="Q101" s="11" t="str">
        <f>IF(P101&gt;Thresholds!$B$13,"High Risk",IF(P101&gt;Thresholds!$B$12,"Moderate Risk","Low Risk"))</f>
        <v>Moderate Risk</v>
      </c>
      <c r="R101" s="11" t="str">
        <f>TRIM(IF(F101&lt;Thresholds!$B$6,"Low SOH; ","")&amp;IF(H101&gt;=Thresholds!$B$7,"High IR; ","")&amp;IF(K101&gt;=Thresholds!$B$9,"High Imbalance; ","")&amp;IF(L101&gt;Thresholds!$B$11,"Sustained Heat 24h; ","")&amp;IF(G101&gt;Thresholds!$B$10,"High Temp; ",""))</f>
        <v/>
      </c>
    </row>
    <row r="102" spans="1:18" x14ac:dyDescent="0.3">
      <c r="A102" s="10" t="s">
        <v>173</v>
      </c>
      <c r="B102" s="10" t="s">
        <v>71</v>
      </c>
      <c r="C102" s="10">
        <v>48</v>
      </c>
      <c r="D102" s="10">
        <v>40</v>
      </c>
      <c r="E102" s="10">
        <v>70.400000000000006</v>
      </c>
      <c r="F102" s="10">
        <v>88.9</v>
      </c>
      <c r="G102" s="10">
        <v>39.700000000000003</v>
      </c>
      <c r="H102" s="10">
        <v>59.4</v>
      </c>
      <c r="I102" s="10">
        <v>243</v>
      </c>
      <c r="J102" s="10">
        <v>2.5099999999999998</v>
      </c>
      <c r="K102" s="10">
        <v>26.1</v>
      </c>
      <c r="L102" s="10">
        <v>44.8</v>
      </c>
      <c r="M102" s="10">
        <v>1.2010000000000001</v>
      </c>
      <c r="N102" s="10" t="s">
        <v>72</v>
      </c>
      <c r="O102" s="11" t="str">
        <f>IF(OR(F102&lt;Thresholds!$B$6,H102&gt;=Thresholds!$B$7,K102&gt;=Thresholds!$B$9,L102&gt;Thresholds!$B$11,G102&gt;Thresholds!$B$10),"ISOLATE",IF(AND(F102&gt;=Thresholds!$B$5,K102&lt;=Thresholds!$B$8),"SAFE","DEGRADE/USE"))</f>
        <v>SAFE</v>
      </c>
      <c r="P102" s="12">
        <f>Thresholds!$B$14*MIN(100-F102,40)/40+Thresholds!$B$15*MIN(H102,90)/90+Thresholds!$B$16*MIN(K102,100)/100+Thresholds!$B$17*MIN(I102,1600)/1600+Thresholds!$B$18*MIN(J102,5)/5+Thresholds!$B$19*MAX(0,G102-25)/25</f>
        <v>38.40124999999999</v>
      </c>
      <c r="Q102" s="11" t="str">
        <f>IF(P102&gt;Thresholds!$B$13,"High Risk",IF(P102&gt;Thresholds!$B$12,"Moderate Risk","Low Risk"))</f>
        <v>Moderate Risk</v>
      </c>
      <c r="R102" s="11" t="str">
        <f>TRIM(IF(F102&lt;Thresholds!$B$6,"Low SOH; ","")&amp;IF(H102&gt;=Thresholds!$B$7,"High IR; ","")&amp;IF(K102&gt;=Thresholds!$B$9,"High Imbalance; ","")&amp;IF(L102&gt;Thresholds!$B$11,"Sustained Heat 24h; ","")&amp;IF(G102&gt;Thresholds!$B$10,"High Temp; ",""))</f>
        <v/>
      </c>
    </row>
    <row r="103" spans="1:18" x14ac:dyDescent="0.3">
      <c r="A103" s="10" t="s">
        <v>174</v>
      </c>
      <c r="B103" s="10" t="s">
        <v>71</v>
      </c>
      <c r="C103" s="10">
        <v>48</v>
      </c>
      <c r="D103" s="10">
        <v>40</v>
      </c>
      <c r="E103" s="10">
        <v>47.4</v>
      </c>
      <c r="F103" s="10">
        <v>76.8</v>
      </c>
      <c r="G103" s="10">
        <v>36.4</v>
      </c>
      <c r="H103" s="10">
        <v>66.599999999999994</v>
      </c>
      <c r="I103" s="10">
        <v>1168</v>
      </c>
      <c r="J103" s="10">
        <v>1.86</v>
      </c>
      <c r="K103" s="10">
        <v>54</v>
      </c>
      <c r="L103" s="10">
        <v>41.4</v>
      </c>
      <c r="M103" s="10">
        <v>0.7</v>
      </c>
      <c r="N103" s="10" t="s">
        <v>72</v>
      </c>
      <c r="O103" s="11" t="str">
        <f>IF(OR(F103&lt;Thresholds!$B$6,H103&gt;=Thresholds!$B$7,K103&gt;=Thresholds!$B$9,L103&gt;Thresholds!$B$11,G103&gt;Thresholds!$B$10),"ISOLATE",IF(AND(F103&gt;=Thresholds!$B$5,K103&lt;=Thresholds!$B$8),"SAFE","DEGRADE/USE"))</f>
        <v>DEGRADE/USE</v>
      </c>
      <c r="P103" s="12">
        <f>Thresholds!$B$14*MIN(100-F103,40)/40+Thresholds!$B$15*MIN(H103,90)/90+Thresholds!$B$16*MIN(K103,100)/100+Thresholds!$B$17*MIN(I103,1600)/1600+Thresholds!$B$18*MIN(J103,5)/5+Thresholds!$B$19*MAX(0,G103-25)/25</f>
        <v>61.039999999999992</v>
      </c>
      <c r="Q103" s="11" t="str">
        <f>IF(P103&gt;Thresholds!$B$13,"High Risk",IF(P103&gt;Thresholds!$B$12,"Moderate Risk","Low Risk"))</f>
        <v>Moderate Risk</v>
      </c>
      <c r="R103" s="11" t="str">
        <f>TRIM(IF(F103&lt;Thresholds!$B$6,"Low SOH; ","")&amp;IF(H103&gt;=Thresholds!$B$7,"High IR; ","")&amp;IF(K103&gt;=Thresholds!$B$9,"High Imbalance; ","")&amp;IF(L103&gt;Thresholds!$B$11,"Sustained Heat 24h; ","")&amp;IF(G103&gt;Thresholds!$B$10,"High Temp; ",""))</f>
        <v/>
      </c>
    </row>
    <row r="104" spans="1:18" x14ac:dyDescent="0.3">
      <c r="A104" s="10" t="s">
        <v>175</v>
      </c>
      <c r="B104" s="10" t="s">
        <v>71</v>
      </c>
      <c r="C104" s="10">
        <v>48</v>
      </c>
      <c r="D104" s="10">
        <v>40</v>
      </c>
      <c r="E104" s="10">
        <v>81.900000000000006</v>
      </c>
      <c r="F104" s="10">
        <v>89</v>
      </c>
      <c r="G104" s="10">
        <v>27.3</v>
      </c>
      <c r="H104" s="10">
        <v>54</v>
      </c>
      <c r="I104" s="10">
        <v>607</v>
      </c>
      <c r="J104" s="10">
        <v>1.1200000000000001</v>
      </c>
      <c r="K104" s="10">
        <v>26.7</v>
      </c>
      <c r="L104" s="10">
        <v>34.200000000000003</v>
      </c>
      <c r="M104" s="10">
        <v>1.3979999999999999</v>
      </c>
      <c r="N104" s="10" t="s">
        <v>72</v>
      </c>
      <c r="O104" s="11" t="str">
        <f>IF(OR(F104&lt;Thresholds!$B$6,H104&gt;=Thresholds!$B$7,K104&gt;=Thresholds!$B$9,L104&gt;Thresholds!$B$11,G104&gt;Thresholds!$B$10),"ISOLATE",IF(AND(F104&gt;=Thresholds!$B$5,K104&lt;=Thresholds!$B$8),"SAFE","DEGRADE/USE"))</f>
        <v>SAFE</v>
      </c>
      <c r="P104" s="12">
        <f>Thresholds!$B$14*MIN(100-F104,40)/40+Thresholds!$B$15*MIN(H104,90)/90+Thresholds!$B$16*MIN(K104,100)/100+Thresholds!$B$17*MIN(I104,1600)/1600+Thresholds!$B$18*MIN(J104,5)/5+Thresholds!$B$19*MAX(0,G104-25)/25</f>
        <v>35.338749999999997</v>
      </c>
      <c r="Q104" s="11" t="str">
        <f>IF(P104&gt;Thresholds!$B$13,"High Risk",IF(P104&gt;Thresholds!$B$12,"Moderate Risk","Low Risk"))</f>
        <v>Moderate Risk</v>
      </c>
      <c r="R104" s="11" t="str">
        <f>TRIM(IF(F104&lt;Thresholds!$B$6,"Low SOH; ","")&amp;IF(H104&gt;=Thresholds!$B$7,"High IR; ","")&amp;IF(K104&gt;=Thresholds!$B$9,"High Imbalance; ","")&amp;IF(L104&gt;Thresholds!$B$11,"Sustained Heat 24h; ","")&amp;IF(G104&gt;Thresholds!$B$10,"High Temp; ",""))</f>
        <v/>
      </c>
    </row>
    <row r="105" spans="1:18" x14ac:dyDescent="0.3">
      <c r="A105" s="10" t="s">
        <v>176</v>
      </c>
      <c r="B105" s="10" t="s">
        <v>71</v>
      </c>
      <c r="C105" s="10">
        <v>48</v>
      </c>
      <c r="D105" s="10">
        <v>40</v>
      </c>
      <c r="E105" s="10">
        <v>90.3</v>
      </c>
      <c r="F105" s="10">
        <v>78.2</v>
      </c>
      <c r="G105" s="10">
        <v>28.6</v>
      </c>
      <c r="H105" s="10">
        <v>57.8</v>
      </c>
      <c r="I105" s="10">
        <v>712</v>
      </c>
      <c r="J105" s="10">
        <v>4.5999999999999996</v>
      </c>
      <c r="K105" s="10">
        <v>51.4</v>
      </c>
      <c r="L105" s="10">
        <v>29</v>
      </c>
      <c r="M105" s="10">
        <v>1.355</v>
      </c>
      <c r="N105" s="10" t="s">
        <v>72</v>
      </c>
      <c r="O105" s="11" t="str">
        <f>IF(OR(F105&lt;Thresholds!$B$6,H105&gt;=Thresholds!$B$7,K105&gt;=Thresholds!$B$9,L105&gt;Thresholds!$B$11,G105&gt;Thresholds!$B$10),"ISOLATE",IF(AND(F105&gt;=Thresholds!$B$5,K105&lt;=Thresholds!$B$8),"SAFE","DEGRADE/USE"))</f>
        <v>DEGRADE/USE</v>
      </c>
      <c r="P105" s="12">
        <f>Thresholds!$B$14*MIN(100-F105,40)/40+Thresholds!$B$15*MIN(H105,90)/90+Thresholds!$B$16*MIN(K105,100)/100+Thresholds!$B$17*MIN(I105,1600)/1600+Thresholds!$B$18*MIN(J105,5)/5+Thresholds!$B$19*MAX(0,G105-25)/25</f>
        <v>55.180555555555557</v>
      </c>
      <c r="Q105" s="11" t="str">
        <f>IF(P105&gt;Thresholds!$B$13,"High Risk",IF(P105&gt;Thresholds!$B$12,"Moderate Risk","Low Risk"))</f>
        <v>Moderate Risk</v>
      </c>
      <c r="R105" s="11" t="str">
        <f>TRIM(IF(F105&lt;Thresholds!$B$6,"Low SOH; ","")&amp;IF(H105&gt;=Thresholds!$B$7,"High IR; ","")&amp;IF(K105&gt;=Thresholds!$B$9,"High Imbalance; ","")&amp;IF(L105&gt;Thresholds!$B$11,"Sustained Heat 24h; ","")&amp;IF(G105&gt;Thresholds!$B$10,"High Temp; ",""))</f>
        <v/>
      </c>
    </row>
    <row r="106" spans="1:18" x14ac:dyDescent="0.3">
      <c r="A106" s="10" t="s">
        <v>177</v>
      </c>
      <c r="B106" s="10" t="s">
        <v>71</v>
      </c>
      <c r="C106" s="10">
        <v>48</v>
      </c>
      <c r="D106" s="10">
        <v>40</v>
      </c>
      <c r="E106" s="10">
        <v>81.3</v>
      </c>
      <c r="F106" s="10">
        <v>65.2</v>
      </c>
      <c r="G106" s="10">
        <v>24.5</v>
      </c>
      <c r="H106" s="10">
        <v>77.2</v>
      </c>
      <c r="I106" s="10">
        <v>1549</v>
      </c>
      <c r="J106" s="10">
        <v>4.37</v>
      </c>
      <c r="K106" s="10">
        <v>60.3</v>
      </c>
      <c r="L106" s="10">
        <v>25.3</v>
      </c>
      <c r="M106" s="10">
        <v>1.018</v>
      </c>
      <c r="N106" s="10" t="s">
        <v>72</v>
      </c>
      <c r="O106" s="11" t="str">
        <f>IF(OR(F106&lt;Thresholds!$B$6,H106&gt;=Thresholds!$B$7,K106&gt;=Thresholds!$B$9,L106&gt;Thresholds!$B$11,G106&gt;Thresholds!$B$10),"ISOLATE",IF(AND(F106&gt;=Thresholds!$B$5,K106&lt;=Thresholds!$B$8),"SAFE","DEGRADE/USE"))</f>
        <v>DEGRADE/USE</v>
      </c>
      <c r="P106" s="12">
        <f>Thresholds!$B$14*MIN(100-F106,40)/40+Thresholds!$B$15*MIN(H106,90)/90+Thresholds!$B$16*MIN(K106,100)/100+Thresholds!$B$17*MIN(I106,1600)/1600+Thresholds!$B$18*MIN(J106,5)/5+Thresholds!$B$19*MAX(0,G106-25)/25</f>
        <v>78.005694444444458</v>
      </c>
      <c r="Q106" s="11" t="str">
        <f>IF(P106&gt;Thresholds!$B$13,"High Risk",IF(P106&gt;Thresholds!$B$12,"Moderate Risk","Low Risk"))</f>
        <v>High Risk</v>
      </c>
      <c r="R106" s="11" t="str">
        <f>TRIM(IF(F106&lt;Thresholds!$B$6,"Low SOH; ","")&amp;IF(H106&gt;=Thresholds!$B$7,"High IR; ","")&amp;IF(K106&gt;=Thresholds!$B$9,"High Imbalance; ","")&amp;IF(L106&gt;Thresholds!$B$11,"Sustained Heat 24h; ","")&amp;IF(G106&gt;Thresholds!$B$10,"High Temp; ",""))</f>
        <v/>
      </c>
    </row>
    <row r="107" spans="1:18" x14ac:dyDescent="0.3">
      <c r="A107" s="10" t="s">
        <v>178</v>
      </c>
      <c r="B107" s="10" t="s">
        <v>71</v>
      </c>
      <c r="C107" s="10">
        <v>48</v>
      </c>
      <c r="D107" s="10">
        <v>40</v>
      </c>
      <c r="E107" s="10">
        <v>77.2</v>
      </c>
      <c r="F107" s="10">
        <v>82.7</v>
      </c>
      <c r="G107" s="10">
        <v>33.200000000000003</v>
      </c>
      <c r="H107" s="10">
        <v>56.7</v>
      </c>
      <c r="I107" s="10">
        <v>547</v>
      </c>
      <c r="J107" s="10">
        <v>2.9</v>
      </c>
      <c r="K107" s="10">
        <v>30</v>
      </c>
      <c r="L107" s="10">
        <v>38.9</v>
      </c>
      <c r="M107" s="10">
        <v>1.2250000000000001</v>
      </c>
      <c r="N107" s="10" t="s">
        <v>72</v>
      </c>
      <c r="O107" s="11" t="str">
        <f>IF(OR(F107&lt;Thresholds!$B$6,H107&gt;=Thresholds!$B$7,K107&gt;=Thresholds!$B$9,L107&gt;Thresholds!$B$11,G107&gt;Thresholds!$B$10),"ISOLATE",IF(AND(F107&gt;=Thresholds!$B$5,K107&lt;=Thresholds!$B$8),"SAFE","DEGRADE/USE"))</f>
        <v>SAFE</v>
      </c>
      <c r="P107" s="12">
        <f>Thresholds!$B$14*MIN(100-F107,40)/40+Thresholds!$B$15*MIN(H107,90)/90+Thresholds!$B$16*MIN(K107,100)/100+Thresholds!$B$17*MIN(I107,1600)/1600+Thresholds!$B$18*MIN(J107,5)/5+Thresholds!$B$19*MAX(0,G107-25)/25</f>
        <v>44.846249999999998</v>
      </c>
      <c r="Q107" s="11" t="str">
        <f>IF(P107&gt;Thresholds!$B$13,"High Risk",IF(P107&gt;Thresholds!$B$12,"Moderate Risk","Low Risk"))</f>
        <v>Moderate Risk</v>
      </c>
      <c r="R107" s="11" t="str">
        <f>TRIM(IF(F107&lt;Thresholds!$B$6,"Low SOH; ","")&amp;IF(H107&gt;=Thresholds!$B$7,"High IR; ","")&amp;IF(K107&gt;=Thresholds!$B$9,"High Imbalance; ","")&amp;IF(L107&gt;Thresholds!$B$11,"Sustained Heat 24h; ","")&amp;IF(G107&gt;Thresholds!$B$10,"High Temp; ",""))</f>
        <v/>
      </c>
    </row>
    <row r="108" spans="1:18" x14ac:dyDescent="0.3">
      <c r="A108" s="10" t="s">
        <v>179</v>
      </c>
      <c r="B108" s="10" t="s">
        <v>71</v>
      </c>
      <c r="C108" s="10">
        <v>48</v>
      </c>
      <c r="D108" s="10">
        <v>40</v>
      </c>
      <c r="E108" s="10">
        <v>47.9</v>
      </c>
      <c r="F108" s="10">
        <v>98.2</v>
      </c>
      <c r="G108" s="10">
        <v>28.8</v>
      </c>
      <c r="H108" s="10">
        <v>47.4</v>
      </c>
      <c r="I108" s="10">
        <v>180</v>
      </c>
      <c r="J108" s="10">
        <v>1.84</v>
      </c>
      <c r="K108" s="10">
        <v>17.7</v>
      </c>
      <c r="L108" s="10">
        <v>31.5</v>
      </c>
      <c r="M108" s="10">
        <v>0.90400000000000003</v>
      </c>
      <c r="N108" s="10" t="s">
        <v>72</v>
      </c>
      <c r="O108" s="11" t="str">
        <f>IF(OR(F108&lt;Thresholds!$B$6,H108&gt;=Thresholds!$B$7,K108&gt;=Thresholds!$B$9,L108&gt;Thresholds!$B$11,G108&gt;Thresholds!$B$10),"ISOLATE",IF(AND(F108&gt;=Thresholds!$B$5,K108&lt;=Thresholds!$B$8),"SAFE","DEGRADE/USE"))</f>
        <v>SAFE</v>
      </c>
      <c r="P108" s="12">
        <f>Thresholds!$B$14*MIN(100-F108,40)/40+Thresholds!$B$15*MIN(H108,90)/90+Thresholds!$B$16*MIN(K108,100)/100+Thresholds!$B$17*MIN(I108,1600)/1600+Thresholds!$B$18*MIN(J108,5)/5+Thresholds!$B$19*MAX(0,G108-25)/25</f>
        <v>22.006666666666664</v>
      </c>
      <c r="Q108" s="11" t="str">
        <f>IF(P108&gt;Thresholds!$B$13,"High Risk",IF(P108&gt;Thresholds!$B$12,"Moderate Risk","Low Risk"))</f>
        <v>Low Risk</v>
      </c>
      <c r="R108" s="11" t="str">
        <f>TRIM(IF(F108&lt;Thresholds!$B$6,"Low SOH; ","")&amp;IF(H108&gt;=Thresholds!$B$7,"High IR; ","")&amp;IF(K108&gt;=Thresholds!$B$9,"High Imbalance; ","")&amp;IF(L108&gt;Thresholds!$B$11,"Sustained Heat 24h; ","")&amp;IF(G108&gt;Thresholds!$B$10,"High Temp; ",""))</f>
        <v/>
      </c>
    </row>
    <row r="109" spans="1:18" x14ac:dyDescent="0.3">
      <c r="A109" s="10" t="s">
        <v>180</v>
      </c>
      <c r="B109" s="10" t="s">
        <v>71</v>
      </c>
      <c r="C109" s="10">
        <v>48</v>
      </c>
      <c r="D109" s="10">
        <v>40</v>
      </c>
      <c r="E109" s="10">
        <v>89.6</v>
      </c>
      <c r="F109" s="10">
        <v>77</v>
      </c>
      <c r="G109" s="10">
        <v>28.4</v>
      </c>
      <c r="H109" s="10">
        <v>74.8</v>
      </c>
      <c r="I109" s="10">
        <v>1127</v>
      </c>
      <c r="J109" s="10">
        <v>1.6</v>
      </c>
      <c r="K109" s="10">
        <v>51.3</v>
      </c>
      <c r="L109" s="10">
        <v>28.6</v>
      </c>
      <c r="M109" s="10">
        <v>1.325</v>
      </c>
      <c r="N109" s="10" t="s">
        <v>72</v>
      </c>
      <c r="O109" s="11" t="str">
        <f>IF(OR(F109&lt;Thresholds!$B$6,H109&gt;=Thresholds!$B$7,K109&gt;=Thresholds!$B$9,L109&gt;Thresholds!$B$11,G109&gt;Thresholds!$B$10),"ISOLATE",IF(AND(F109&gt;=Thresholds!$B$5,K109&lt;=Thresholds!$B$8),"SAFE","DEGRADE/USE"))</f>
        <v>DEGRADE/USE</v>
      </c>
      <c r="P109" s="12">
        <f>Thresholds!$B$14*MIN(100-F109,40)/40+Thresholds!$B$15*MIN(H109,90)/90+Thresholds!$B$16*MIN(K109,100)/100+Thresholds!$B$17*MIN(I109,1600)/1600+Thresholds!$B$18*MIN(J109,5)/5+Thresholds!$B$19*MAX(0,G109-25)/25</f>
        <v>60.486527777777781</v>
      </c>
      <c r="Q109" s="11" t="str">
        <f>IF(P109&gt;Thresholds!$B$13,"High Risk",IF(P109&gt;Thresholds!$B$12,"Moderate Risk","Low Risk"))</f>
        <v>Moderate Risk</v>
      </c>
      <c r="R109" s="11" t="str">
        <f>TRIM(IF(F109&lt;Thresholds!$B$6,"Low SOH; ","")&amp;IF(H109&gt;=Thresholds!$B$7,"High IR; ","")&amp;IF(K109&gt;=Thresholds!$B$9,"High Imbalance; ","")&amp;IF(L109&gt;Thresholds!$B$11,"Sustained Heat 24h; ","")&amp;IF(G109&gt;Thresholds!$B$10,"High Temp; ",""))</f>
        <v/>
      </c>
    </row>
    <row r="110" spans="1:18" x14ac:dyDescent="0.3">
      <c r="A110" s="10" t="s">
        <v>181</v>
      </c>
      <c r="B110" s="10" t="s">
        <v>71</v>
      </c>
      <c r="C110" s="10">
        <v>48</v>
      </c>
      <c r="D110" s="10">
        <v>40</v>
      </c>
      <c r="E110" s="10">
        <v>31.1</v>
      </c>
      <c r="F110" s="10">
        <v>74</v>
      </c>
      <c r="G110" s="10">
        <v>27.8</v>
      </c>
      <c r="H110" s="10">
        <v>77.5</v>
      </c>
      <c r="I110" s="10">
        <v>1303</v>
      </c>
      <c r="J110" s="10">
        <v>0.83</v>
      </c>
      <c r="K110" s="10">
        <v>50.1</v>
      </c>
      <c r="L110" s="10">
        <v>30.3</v>
      </c>
      <c r="M110" s="10">
        <v>0.442</v>
      </c>
      <c r="N110" s="10" t="s">
        <v>72</v>
      </c>
      <c r="O110" s="11" t="str">
        <f>IF(OR(F110&lt;Thresholds!$B$6,H110&gt;=Thresholds!$B$7,K110&gt;=Thresholds!$B$9,L110&gt;Thresholds!$B$11,G110&gt;Thresholds!$B$10),"ISOLATE",IF(AND(F110&gt;=Thresholds!$B$5,K110&lt;=Thresholds!$B$8),"SAFE","DEGRADE/USE"))</f>
        <v>DEGRADE/USE</v>
      </c>
      <c r="P110" s="12">
        <f>Thresholds!$B$14*MIN(100-F110,40)/40+Thresholds!$B$15*MIN(H110,90)/90+Thresholds!$B$16*MIN(K110,100)/100+Thresholds!$B$17*MIN(I110,1600)/1600+Thresholds!$B$18*MIN(J110,5)/5+Thresholds!$B$19*MAX(0,G110-25)/25</f>
        <v>63.831527777777779</v>
      </c>
      <c r="Q110" s="11" t="str">
        <f>IF(P110&gt;Thresholds!$B$13,"High Risk",IF(P110&gt;Thresholds!$B$12,"Moderate Risk","Low Risk"))</f>
        <v>Moderate Risk</v>
      </c>
      <c r="R110" s="11" t="str">
        <f>TRIM(IF(F110&lt;Thresholds!$B$6,"Low SOH; ","")&amp;IF(H110&gt;=Thresholds!$B$7,"High IR; ","")&amp;IF(K110&gt;=Thresholds!$B$9,"High Imbalance; ","")&amp;IF(L110&gt;Thresholds!$B$11,"Sustained Heat 24h; ","")&amp;IF(G110&gt;Thresholds!$B$10,"High Temp; ",""))</f>
        <v/>
      </c>
    </row>
    <row r="111" spans="1:18" x14ac:dyDescent="0.3">
      <c r="A111" s="10" t="s">
        <v>182</v>
      </c>
      <c r="B111" s="10" t="s">
        <v>71</v>
      </c>
      <c r="C111" s="10">
        <v>48</v>
      </c>
      <c r="D111" s="10">
        <v>40</v>
      </c>
      <c r="E111" s="10">
        <v>62.5</v>
      </c>
      <c r="F111" s="10">
        <v>83.5</v>
      </c>
      <c r="G111" s="10">
        <v>32.299999999999997</v>
      </c>
      <c r="H111" s="10">
        <v>45.8</v>
      </c>
      <c r="I111" s="10">
        <v>637</v>
      </c>
      <c r="J111" s="10">
        <v>3.57</v>
      </c>
      <c r="K111" s="10">
        <v>42.6</v>
      </c>
      <c r="L111" s="10">
        <v>37</v>
      </c>
      <c r="M111" s="10">
        <v>1.002</v>
      </c>
      <c r="N111" s="10" t="s">
        <v>72</v>
      </c>
      <c r="O111" s="11" t="str">
        <f>IF(OR(F111&lt;Thresholds!$B$6,H111&gt;=Thresholds!$B$7,K111&gt;=Thresholds!$B$9,L111&gt;Thresholds!$B$11,G111&gt;Thresholds!$B$10),"ISOLATE",IF(AND(F111&gt;=Thresholds!$B$5,K111&lt;=Thresholds!$B$8),"SAFE","DEGRADE/USE"))</f>
        <v>SAFE</v>
      </c>
      <c r="P111" s="12">
        <f>Thresholds!$B$14*MIN(100-F111,40)/40+Thresholds!$B$15*MIN(H111,90)/90+Thresholds!$B$16*MIN(K111,100)/100+Thresholds!$B$17*MIN(I111,1600)/1600+Thresholds!$B$18*MIN(J111,5)/5+Thresholds!$B$19*MAX(0,G111-25)/25</f>
        <v>44.690972222222229</v>
      </c>
      <c r="Q111" s="11" t="str">
        <f>IF(P111&gt;Thresholds!$B$13,"High Risk",IF(P111&gt;Thresholds!$B$12,"Moderate Risk","Low Risk"))</f>
        <v>Moderate Risk</v>
      </c>
      <c r="R111" s="11" t="str">
        <f>TRIM(IF(F111&lt;Thresholds!$B$6,"Low SOH; ","")&amp;IF(H111&gt;=Thresholds!$B$7,"High IR; ","")&amp;IF(K111&gt;=Thresholds!$B$9,"High Imbalance; ","")&amp;IF(L111&gt;Thresholds!$B$11,"Sustained Heat 24h; ","")&amp;IF(G111&gt;Thresholds!$B$10,"High Temp; ",""))</f>
        <v/>
      </c>
    </row>
    <row r="112" spans="1:18" x14ac:dyDescent="0.3">
      <c r="A112" s="10" t="s">
        <v>183</v>
      </c>
      <c r="B112" s="10" t="s">
        <v>71</v>
      </c>
      <c r="C112" s="10">
        <v>48</v>
      </c>
      <c r="D112" s="10">
        <v>40</v>
      </c>
      <c r="E112" s="10">
        <v>100</v>
      </c>
      <c r="F112" s="10">
        <v>73.7</v>
      </c>
      <c r="G112" s="10">
        <v>31.9</v>
      </c>
      <c r="H112" s="10">
        <v>69.2</v>
      </c>
      <c r="I112" s="10">
        <v>1393</v>
      </c>
      <c r="J112" s="10">
        <v>0.41</v>
      </c>
      <c r="K112" s="10">
        <v>60.7</v>
      </c>
      <c r="L112" s="10">
        <v>37.9</v>
      </c>
      <c r="M112" s="10">
        <v>1.415</v>
      </c>
      <c r="N112" s="10" t="s">
        <v>72</v>
      </c>
      <c r="O112" s="11" t="str">
        <f>IF(OR(F112&lt;Thresholds!$B$6,H112&gt;=Thresholds!$B$7,K112&gt;=Thresholds!$B$9,L112&gt;Thresholds!$B$11,G112&gt;Thresholds!$B$10),"ISOLATE",IF(AND(F112&gt;=Thresholds!$B$5,K112&lt;=Thresholds!$B$8),"SAFE","DEGRADE/USE"))</f>
        <v>DEGRADE/USE</v>
      </c>
      <c r="P112" s="12">
        <f>Thresholds!$B$14*MIN(100-F112,40)/40+Thresholds!$B$15*MIN(H112,90)/90+Thresholds!$B$16*MIN(K112,100)/100+Thresholds!$B$17*MIN(I112,1600)/1600+Thresholds!$B$18*MIN(J112,5)/5+Thresholds!$B$19*MAX(0,G112-25)/25</f>
        <v>64.870972222222207</v>
      </c>
      <c r="Q112" s="11" t="str">
        <f>IF(P112&gt;Thresholds!$B$13,"High Risk",IF(P112&gt;Thresholds!$B$12,"Moderate Risk","Low Risk"))</f>
        <v>Moderate Risk</v>
      </c>
      <c r="R112" s="11" t="str">
        <f>TRIM(IF(F112&lt;Thresholds!$B$6,"Low SOH; ","")&amp;IF(H112&gt;=Thresholds!$B$7,"High IR; ","")&amp;IF(K112&gt;=Thresholds!$B$9,"High Imbalance; ","")&amp;IF(L112&gt;Thresholds!$B$11,"Sustained Heat 24h; ","")&amp;IF(G112&gt;Thresholds!$B$10,"High Temp; ",""))</f>
        <v/>
      </c>
    </row>
    <row r="113" spans="1:18" x14ac:dyDescent="0.3">
      <c r="A113" s="10" t="s">
        <v>184</v>
      </c>
      <c r="B113" s="10" t="s">
        <v>71</v>
      </c>
      <c r="C113" s="10">
        <v>48</v>
      </c>
      <c r="D113" s="10">
        <v>40</v>
      </c>
      <c r="E113" s="10">
        <v>46.5</v>
      </c>
      <c r="F113" s="10">
        <v>74.400000000000006</v>
      </c>
      <c r="G113" s="10">
        <v>25.4</v>
      </c>
      <c r="H113" s="10">
        <v>62.1</v>
      </c>
      <c r="I113" s="10">
        <v>1139</v>
      </c>
      <c r="J113" s="10">
        <v>3.1</v>
      </c>
      <c r="K113" s="10">
        <v>65.900000000000006</v>
      </c>
      <c r="L113" s="10">
        <v>27.9</v>
      </c>
      <c r="M113" s="10">
        <v>0.66400000000000003</v>
      </c>
      <c r="N113" s="10" t="s">
        <v>72</v>
      </c>
      <c r="O113" s="11" t="str">
        <f>IF(OR(F113&lt;Thresholds!$B$6,H113&gt;=Thresholds!$B$7,K113&gt;=Thresholds!$B$9,L113&gt;Thresholds!$B$11,G113&gt;Thresholds!$B$10),"ISOLATE",IF(AND(F113&gt;=Thresholds!$B$5,K113&lt;=Thresholds!$B$8),"SAFE","DEGRADE/USE"))</f>
        <v>DEGRADE/USE</v>
      </c>
      <c r="P113" s="12">
        <f>Thresholds!$B$14*MIN(100-F113,40)/40+Thresholds!$B$15*MIN(H113,90)/90+Thresholds!$B$16*MIN(K113,100)/100+Thresholds!$B$17*MIN(I113,1600)/1600+Thresholds!$B$18*MIN(J113,5)/5+Thresholds!$B$19*MAX(0,G113-25)/25</f>
        <v>63.128749999999989</v>
      </c>
      <c r="Q113" s="11" t="str">
        <f>IF(P113&gt;Thresholds!$B$13,"High Risk",IF(P113&gt;Thresholds!$B$12,"Moderate Risk","Low Risk"))</f>
        <v>Moderate Risk</v>
      </c>
      <c r="R113" s="11" t="str">
        <f>TRIM(IF(F113&lt;Thresholds!$B$6,"Low SOH; ","")&amp;IF(H113&gt;=Thresholds!$B$7,"High IR; ","")&amp;IF(K113&gt;=Thresholds!$B$9,"High Imbalance; ","")&amp;IF(L113&gt;Thresholds!$B$11,"Sustained Heat 24h; ","")&amp;IF(G113&gt;Thresholds!$B$10,"High Temp; ",""))</f>
        <v/>
      </c>
    </row>
    <row r="114" spans="1:18" x14ac:dyDescent="0.3">
      <c r="A114" s="10" t="s">
        <v>185</v>
      </c>
      <c r="B114" s="10" t="s">
        <v>71</v>
      </c>
      <c r="C114" s="10">
        <v>48</v>
      </c>
      <c r="D114" s="10">
        <v>40</v>
      </c>
      <c r="E114" s="10">
        <v>38.700000000000003</v>
      </c>
      <c r="F114" s="10">
        <v>89.8</v>
      </c>
      <c r="G114" s="10">
        <v>38.799999999999997</v>
      </c>
      <c r="H114" s="10">
        <v>50.1</v>
      </c>
      <c r="I114" s="10">
        <v>396</v>
      </c>
      <c r="J114" s="10">
        <v>3.81</v>
      </c>
      <c r="K114" s="10">
        <v>32.799999999999997</v>
      </c>
      <c r="L114" s="10">
        <v>40.700000000000003</v>
      </c>
      <c r="M114" s="10">
        <v>0.66800000000000004</v>
      </c>
      <c r="N114" s="10" t="s">
        <v>72</v>
      </c>
      <c r="O114" s="11" t="str">
        <f>IF(OR(F114&lt;Thresholds!$B$6,H114&gt;=Thresholds!$B$7,K114&gt;=Thresholds!$B$9,L114&gt;Thresholds!$B$11,G114&gt;Thresholds!$B$10),"ISOLATE",IF(AND(F114&gt;=Thresholds!$B$5,K114&lt;=Thresholds!$B$8),"SAFE","DEGRADE/USE"))</f>
        <v>SAFE</v>
      </c>
      <c r="P114" s="12">
        <f>Thresholds!$B$14*MIN(100-F114,40)/40+Thresholds!$B$15*MIN(H114,90)/90+Thresholds!$B$16*MIN(K114,100)/100+Thresholds!$B$17*MIN(I114,1600)/1600+Thresholds!$B$18*MIN(J114,5)/5+Thresholds!$B$19*MAX(0,G114-25)/25</f>
        <v>38.446666666666665</v>
      </c>
      <c r="Q114" s="11" t="str">
        <f>IF(P114&gt;Thresholds!$B$13,"High Risk",IF(P114&gt;Thresholds!$B$12,"Moderate Risk","Low Risk"))</f>
        <v>Moderate Risk</v>
      </c>
      <c r="R114" s="11" t="str">
        <f>TRIM(IF(F114&lt;Thresholds!$B$6,"Low SOH; ","")&amp;IF(H114&gt;=Thresholds!$B$7,"High IR; ","")&amp;IF(K114&gt;=Thresholds!$B$9,"High Imbalance; ","")&amp;IF(L114&gt;Thresholds!$B$11,"Sustained Heat 24h; ","")&amp;IF(G114&gt;Thresholds!$B$10,"High Temp; ",""))</f>
        <v/>
      </c>
    </row>
    <row r="115" spans="1:18" x14ac:dyDescent="0.3">
      <c r="A115" s="10" t="s">
        <v>186</v>
      </c>
      <c r="B115" s="10" t="s">
        <v>71</v>
      </c>
      <c r="C115" s="10">
        <v>48</v>
      </c>
      <c r="D115" s="10">
        <v>40</v>
      </c>
      <c r="E115" s="10">
        <v>55.4</v>
      </c>
      <c r="F115" s="10">
        <v>72.5</v>
      </c>
      <c r="G115" s="10">
        <v>32</v>
      </c>
      <c r="H115" s="10">
        <v>68.2</v>
      </c>
      <c r="I115" s="10">
        <v>1368</v>
      </c>
      <c r="J115" s="10">
        <v>0.23</v>
      </c>
      <c r="K115" s="10">
        <v>53.1</v>
      </c>
      <c r="L115" s="10">
        <v>39.299999999999997</v>
      </c>
      <c r="M115" s="10">
        <v>0.77200000000000002</v>
      </c>
      <c r="N115" s="10" t="s">
        <v>72</v>
      </c>
      <c r="O115" s="11" t="str">
        <f>IF(OR(F115&lt;Thresholds!$B$6,H115&gt;=Thresholds!$B$7,K115&gt;=Thresholds!$B$9,L115&gt;Thresholds!$B$11,G115&gt;Thresholds!$B$10),"ISOLATE",IF(AND(F115&gt;=Thresholds!$B$5,K115&lt;=Thresholds!$B$8),"SAFE","DEGRADE/USE"))</f>
        <v>DEGRADE/USE</v>
      </c>
      <c r="P115" s="12">
        <f>Thresholds!$B$14*MIN(100-F115,40)/40+Thresholds!$B$15*MIN(H115,90)/90+Thresholds!$B$16*MIN(K115,100)/100+Thresholds!$B$17*MIN(I115,1600)/1600+Thresholds!$B$18*MIN(J115,5)/5+Thresholds!$B$19*MAX(0,G115-25)/25</f>
        <v>63.80694444444444</v>
      </c>
      <c r="Q115" s="11" t="str">
        <f>IF(P115&gt;Thresholds!$B$13,"High Risk",IF(P115&gt;Thresholds!$B$12,"Moderate Risk","Low Risk"))</f>
        <v>Moderate Risk</v>
      </c>
      <c r="R115" s="11" t="str">
        <f>TRIM(IF(F115&lt;Thresholds!$B$6,"Low SOH; ","")&amp;IF(H115&gt;=Thresholds!$B$7,"High IR; ","")&amp;IF(K115&gt;=Thresholds!$B$9,"High Imbalance; ","")&amp;IF(L115&gt;Thresholds!$B$11,"Sustained Heat 24h; ","")&amp;IF(G115&gt;Thresholds!$B$10,"High Temp; ",""))</f>
        <v/>
      </c>
    </row>
    <row r="116" spans="1:18" x14ac:dyDescent="0.3">
      <c r="A116" s="10" t="s">
        <v>187</v>
      </c>
      <c r="B116" s="10" t="s">
        <v>71</v>
      </c>
      <c r="C116" s="10">
        <v>48</v>
      </c>
      <c r="D116" s="10">
        <v>40</v>
      </c>
      <c r="E116" s="10">
        <v>80.900000000000006</v>
      </c>
      <c r="F116" s="10">
        <v>77.8</v>
      </c>
      <c r="G116" s="10">
        <v>24.3</v>
      </c>
      <c r="H116" s="10">
        <v>56.3</v>
      </c>
      <c r="I116" s="10">
        <v>837</v>
      </c>
      <c r="J116" s="10">
        <v>3.2</v>
      </c>
      <c r="K116" s="10">
        <v>51.2</v>
      </c>
      <c r="L116" s="10">
        <v>24.9</v>
      </c>
      <c r="M116" s="10">
        <v>1.208</v>
      </c>
      <c r="N116" s="10" t="s">
        <v>72</v>
      </c>
      <c r="O116" s="11" t="str">
        <f>IF(OR(F116&lt;Thresholds!$B$6,H116&gt;=Thresholds!$B$7,K116&gt;=Thresholds!$B$9,L116&gt;Thresholds!$B$11,G116&gt;Thresholds!$B$10),"ISOLATE",IF(AND(F116&gt;=Thresholds!$B$5,K116&lt;=Thresholds!$B$8),"SAFE","DEGRADE/USE"))</f>
        <v>DEGRADE/USE</v>
      </c>
      <c r="P116" s="12">
        <f>Thresholds!$B$14*MIN(100-F116,40)/40+Thresholds!$B$15*MIN(H116,90)/90+Thresholds!$B$16*MIN(K116,100)/100+Thresholds!$B$17*MIN(I116,1600)/1600+Thresholds!$B$18*MIN(J116,5)/5+Thresholds!$B$19*MAX(0,G116-25)/25</f>
        <v>53.735138888888905</v>
      </c>
      <c r="Q116" s="11" t="str">
        <f>IF(P116&gt;Thresholds!$B$13,"High Risk",IF(P116&gt;Thresholds!$B$12,"Moderate Risk","Low Risk"))</f>
        <v>Moderate Risk</v>
      </c>
      <c r="R116" s="11" t="str">
        <f>TRIM(IF(F116&lt;Thresholds!$B$6,"Low SOH; ","")&amp;IF(H116&gt;=Thresholds!$B$7,"High IR; ","")&amp;IF(K116&gt;=Thresholds!$B$9,"High Imbalance; ","")&amp;IF(L116&gt;Thresholds!$B$11,"Sustained Heat 24h; ","")&amp;IF(G116&gt;Thresholds!$B$10,"High Temp; ",""))</f>
        <v/>
      </c>
    </row>
    <row r="117" spans="1:18" x14ac:dyDescent="0.3">
      <c r="A117" s="10" t="s">
        <v>188</v>
      </c>
      <c r="B117" s="10" t="s">
        <v>71</v>
      </c>
      <c r="C117" s="10">
        <v>48</v>
      </c>
      <c r="D117" s="10">
        <v>40</v>
      </c>
      <c r="E117" s="10">
        <v>71.900000000000006</v>
      </c>
      <c r="F117" s="10">
        <v>84.8</v>
      </c>
      <c r="G117" s="10">
        <v>35.4</v>
      </c>
      <c r="H117" s="10">
        <v>50.5</v>
      </c>
      <c r="I117" s="10">
        <v>462</v>
      </c>
      <c r="J117" s="10">
        <v>3.22</v>
      </c>
      <c r="K117" s="10">
        <v>47.9</v>
      </c>
      <c r="L117" s="10">
        <v>42.1</v>
      </c>
      <c r="M117" s="10">
        <v>1.17</v>
      </c>
      <c r="N117" s="10" t="s">
        <v>72</v>
      </c>
      <c r="O117" s="11" t="str">
        <f>IF(OR(F117&lt;Thresholds!$B$6,H117&gt;=Thresholds!$B$7,K117&gt;=Thresholds!$B$9,L117&gt;Thresholds!$B$11,G117&gt;Thresholds!$B$10),"ISOLATE",IF(AND(F117&gt;=Thresholds!$B$5,K117&lt;=Thresholds!$B$8),"SAFE","DEGRADE/USE"))</f>
        <v>SAFE</v>
      </c>
      <c r="P117" s="12">
        <f>Thresholds!$B$14*MIN(100-F117,40)/40+Thresholds!$B$15*MIN(H117,90)/90+Thresholds!$B$16*MIN(K117,100)/100+Thresholds!$B$17*MIN(I117,1600)/1600+Thresholds!$B$18*MIN(J117,5)/5+Thresholds!$B$19*MAX(0,G117-25)/25</f>
        <v>45.095277777777781</v>
      </c>
      <c r="Q117" s="11" t="str">
        <f>IF(P117&gt;Thresholds!$B$13,"High Risk",IF(P117&gt;Thresholds!$B$12,"Moderate Risk","Low Risk"))</f>
        <v>Moderate Risk</v>
      </c>
      <c r="R117" s="11" t="str">
        <f>TRIM(IF(F117&lt;Thresholds!$B$6,"Low SOH; ","")&amp;IF(H117&gt;=Thresholds!$B$7,"High IR; ","")&amp;IF(K117&gt;=Thresholds!$B$9,"High Imbalance; ","")&amp;IF(L117&gt;Thresholds!$B$11,"Sustained Heat 24h; ","")&amp;IF(G117&gt;Thresholds!$B$10,"High Temp; ",""))</f>
        <v/>
      </c>
    </row>
    <row r="118" spans="1:18" x14ac:dyDescent="0.3">
      <c r="A118" s="10" t="s">
        <v>189</v>
      </c>
      <c r="B118" s="10" t="s">
        <v>71</v>
      </c>
      <c r="C118" s="10">
        <v>48</v>
      </c>
      <c r="D118" s="10">
        <v>40</v>
      </c>
      <c r="E118" s="10">
        <v>93</v>
      </c>
      <c r="F118" s="10">
        <v>79.400000000000006</v>
      </c>
      <c r="G118" s="10">
        <v>26.9</v>
      </c>
      <c r="H118" s="10">
        <v>65.7</v>
      </c>
      <c r="I118" s="10">
        <v>1091</v>
      </c>
      <c r="J118" s="10">
        <v>0.62</v>
      </c>
      <c r="K118" s="10">
        <v>53.3</v>
      </c>
      <c r="L118" s="10">
        <v>27.2</v>
      </c>
      <c r="M118" s="10">
        <v>1.417</v>
      </c>
      <c r="N118" s="10" t="s">
        <v>72</v>
      </c>
      <c r="O118" s="11" t="str">
        <f>IF(OR(F118&lt;Thresholds!$B$6,H118&gt;=Thresholds!$B$7,K118&gt;=Thresholds!$B$9,L118&gt;Thresholds!$B$11,G118&gt;Thresholds!$B$10),"ISOLATE",IF(AND(F118&gt;=Thresholds!$B$5,K118&lt;=Thresholds!$B$8),"SAFE","DEGRADE/USE"))</f>
        <v>DEGRADE/USE</v>
      </c>
      <c r="P118" s="12">
        <f>Thresholds!$B$14*MIN(100-F118,40)/40+Thresholds!$B$15*MIN(H118,90)/90+Thresholds!$B$16*MIN(K118,100)/100+Thresholds!$B$17*MIN(I118,1600)/1600+Thresholds!$B$18*MIN(J118,5)/5+Thresholds!$B$19*MAX(0,G118-25)/25</f>
        <v>54.753749999999989</v>
      </c>
      <c r="Q118" s="11" t="str">
        <f>IF(P118&gt;Thresholds!$B$13,"High Risk",IF(P118&gt;Thresholds!$B$12,"Moderate Risk","Low Risk"))</f>
        <v>Moderate Risk</v>
      </c>
      <c r="R118" s="11" t="str">
        <f>TRIM(IF(F118&lt;Thresholds!$B$6,"Low SOH; ","")&amp;IF(H118&gt;=Thresholds!$B$7,"High IR; ","")&amp;IF(K118&gt;=Thresholds!$B$9,"High Imbalance; ","")&amp;IF(L118&gt;Thresholds!$B$11,"Sustained Heat 24h; ","")&amp;IF(G118&gt;Thresholds!$B$10,"High Temp; ",""))</f>
        <v/>
      </c>
    </row>
    <row r="119" spans="1:18" x14ac:dyDescent="0.3">
      <c r="A119" s="10" t="s">
        <v>190</v>
      </c>
      <c r="B119" s="10" t="s">
        <v>71</v>
      </c>
      <c r="C119" s="10">
        <v>48</v>
      </c>
      <c r="D119" s="10">
        <v>40</v>
      </c>
      <c r="E119" s="10">
        <v>74.400000000000006</v>
      </c>
      <c r="F119" s="10">
        <v>92</v>
      </c>
      <c r="G119" s="10">
        <v>40.299999999999997</v>
      </c>
      <c r="H119" s="10">
        <v>47.3</v>
      </c>
      <c r="I119" s="10">
        <v>362</v>
      </c>
      <c r="J119" s="10">
        <v>3.68</v>
      </c>
      <c r="K119" s="10">
        <v>19.3</v>
      </c>
      <c r="L119" s="10">
        <v>47.9</v>
      </c>
      <c r="M119" s="10">
        <v>1.3140000000000001</v>
      </c>
      <c r="N119" s="10" t="s">
        <v>72</v>
      </c>
      <c r="O119" s="11" t="str">
        <f>IF(OR(F119&lt;Thresholds!$B$6,H119&gt;=Thresholds!$B$7,K119&gt;=Thresholds!$B$9,L119&gt;Thresholds!$B$11,G119&gt;Thresholds!$B$10),"ISOLATE",IF(AND(F119&gt;=Thresholds!$B$5,K119&lt;=Thresholds!$B$8),"SAFE","DEGRADE/USE"))</f>
        <v>ISOLATE</v>
      </c>
      <c r="P119" s="12">
        <f>Thresholds!$B$14*MIN(100-F119,40)/40+Thresholds!$B$15*MIN(H119,90)/90+Thresholds!$B$16*MIN(K119,100)/100+Thresholds!$B$17*MIN(I119,1600)/1600+Thresholds!$B$18*MIN(J119,5)/5+Thresholds!$B$19*MAX(0,G119-25)/25</f>
        <v>33.00138888888889</v>
      </c>
      <c r="Q119" s="11" t="str">
        <f>IF(P119&gt;Thresholds!$B$13,"High Risk",IF(P119&gt;Thresholds!$B$12,"Moderate Risk","Low Risk"))</f>
        <v>Low Risk</v>
      </c>
      <c r="R119" s="11" t="str">
        <f>TRIM(IF(F119&lt;Thresholds!$B$6,"Low SOH; ","")&amp;IF(H119&gt;=Thresholds!$B$7,"High IR; ","")&amp;IF(K119&gt;=Thresholds!$B$9,"High Imbalance; ","")&amp;IF(L119&gt;Thresholds!$B$11,"Sustained Heat 24h; ","")&amp;IF(G119&gt;Thresholds!$B$10,"High Temp; ",""))</f>
        <v>Sustained Heat 24h;</v>
      </c>
    </row>
    <row r="120" spans="1:18" x14ac:dyDescent="0.3">
      <c r="A120" s="10" t="s">
        <v>191</v>
      </c>
      <c r="B120" s="10" t="s">
        <v>71</v>
      </c>
      <c r="C120" s="10">
        <v>48</v>
      </c>
      <c r="D120" s="10">
        <v>40</v>
      </c>
      <c r="E120" s="10">
        <v>52.8</v>
      </c>
      <c r="F120" s="10">
        <v>90.1</v>
      </c>
      <c r="G120" s="10">
        <v>37.9</v>
      </c>
      <c r="H120" s="10">
        <v>47.1</v>
      </c>
      <c r="I120" s="10">
        <v>575</v>
      </c>
      <c r="J120" s="10">
        <v>1.2</v>
      </c>
      <c r="K120" s="10">
        <v>39.6</v>
      </c>
      <c r="L120" s="10">
        <v>45.6</v>
      </c>
      <c r="M120" s="10">
        <v>0.91400000000000003</v>
      </c>
      <c r="N120" s="10" t="s">
        <v>72</v>
      </c>
      <c r="O120" s="11" t="str">
        <f>IF(OR(F120&lt;Thresholds!$B$6,H120&gt;=Thresholds!$B$7,K120&gt;=Thresholds!$B$9,L120&gt;Thresholds!$B$11,G120&gt;Thresholds!$B$10),"ISOLATE",IF(AND(F120&gt;=Thresholds!$B$5,K120&lt;=Thresholds!$B$8),"SAFE","DEGRADE/USE"))</f>
        <v>ISOLATE</v>
      </c>
      <c r="P120" s="12">
        <f>Thresholds!$B$14*MIN(100-F120,40)/40+Thresholds!$B$15*MIN(H120,90)/90+Thresholds!$B$16*MIN(K120,100)/100+Thresholds!$B$17*MIN(I120,1600)/1600+Thresholds!$B$18*MIN(J120,5)/5+Thresholds!$B$19*MAX(0,G120-25)/25</f>
        <v>37.03958333333334</v>
      </c>
      <c r="Q120" s="11" t="str">
        <f>IF(P120&gt;Thresholds!$B$13,"High Risk",IF(P120&gt;Thresholds!$B$12,"Moderate Risk","Low Risk"))</f>
        <v>Moderate Risk</v>
      </c>
      <c r="R120" s="11" t="str">
        <f>TRIM(IF(F120&lt;Thresholds!$B$6,"Low SOH; ","")&amp;IF(H120&gt;=Thresholds!$B$7,"High IR; ","")&amp;IF(K120&gt;=Thresholds!$B$9,"High Imbalance; ","")&amp;IF(L120&gt;Thresholds!$B$11,"Sustained Heat 24h; ","")&amp;IF(G120&gt;Thresholds!$B$10,"High Temp; ",""))</f>
        <v>Sustained Heat 24h;</v>
      </c>
    </row>
    <row r="121" spans="1:18" x14ac:dyDescent="0.3">
      <c r="A121" s="10" t="s">
        <v>192</v>
      </c>
      <c r="B121" s="10" t="s">
        <v>71</v>
      </c>
      <c r="C121" s="10">
        <v>48</v>
      </c>
      <c r="D121" s="10">
        <v>40</v>
      </c>
      <c r="E121" s="10">
        <v>91.5</v>
      </c>
      <c r="F121" s="10">
        <v>89.7</v>
      </c>
      <c r="G121" s="10">
        <v>33.9</v>
      </c>
      <c r="H121" s="10">
        <v>51.1</v>
      </c>
      <c r="I121" s="10">
        <v>539</v>
      </c>
      <c r="J121" s="10">
        <v>2.34</v>
      </c>
      <c r="K121" s="10">
        <v>22.6</v>
      </c>
      <c r="L121" s="10">
        <v>39.4</v>
      </c>
      <c r="M121" s="10">
        <v>1.5760000000000001</v>
      </c>
      <c r="N121" s="10" t="s">
        <v>72</v>
      </c>
      <c r="O121" s="11" t="str">
        <f>IF(OR(F121&lt;Thresholds!$B$6,H121&gt;=Thresholds!$B$7,K121&gt;=Thresholds!$B$9,L121&gt;Thresholds!$B$11,G121&gt;Thresholds!$B$10),"ISOLATE",IF(AND(F121&gt;=Thresholds!$B$5,K121&lt;=Thresholds!$B$8),"SAFE","DEGRADE/USE"))</f>
        <v>SAFE</v>
      </c>
      <c r="P121" s="12">
        <f>Thresholds!$B$14*MIN(100-F121,40)/40+Thresholds!$B$15*MIN(H121,90)/90+Thresholds!$B$16*MIN(K121,100)/100+Thresholds!$B$17*MIN(I121,1600)/1600+Thresholds!$B$18*MIN(J121,5)/5+Thresholds!$B$19*MAX(0,G121-25)/25</f>
        <v>35.215694444444438</v>
      </c>
      <c r="Q121" s="11" t="str">
        <f>IF(P121&gt;Thresholds!$B$13,"High Risk",IF(P121&gt;Thresholds!$B$12,"Moderate Risk","Low Risk"))</f>
        <v>Moderate Risk</v>
      </c>
      <c r="R121" s="11" t="str">
        <f>TRIM(IF(F121&lt;Thresholds!$B$6,"Low SOH; ","")&amp;IF(H121&gt;=Thresholds!$B$7,"High IR; ","")&amp;IF(K121&gt;=Thresholds!$B$9,"High Imbalance; ","")&amp;IF(L121&gt;Thresholds!$B$11,"Sustained Heat 24h; ","")&amp;IF(G121&gt;Thresholds!$B$10,"High Temp; ",""))</f>
        <v/>
      </c>
    </row>
    <row r="122" spans="1:18" x14ac:dyDescent="0.3">
      <c r="A122" s="10" t="s">
        <v>193</v>
      </c>
      <c r="B122" s="10" t="s">
        <v>71</v>
      </c>
      <c r="C122" s="10">
        <v>48</v>
      </c>
      <c r="D122" s="10">
        <v>40</v>
      </c>
      <c r="E122" s="10">
        <v>62.3</v>
      </c>
      <c r="F122" s="10">
        <v>82.4</v>
      </c>
      <c r="G122" s="10">
        <v>42.9</v>
      </c>
      <c r="H122" s="10">
        <v>53.9</v>
      </c>
      <c r="I122" s="10">
        <v>392</v>
      </c>
      <c r="J122" s="10">
        <v>1.48</v>
      </c>
      <c r="K122" s="10">
        <v>40.700000000000003</v>
      </c>
      <c r="L122" s="10">
        <v>50.7</v>
      </c>
      <c r="M122" s="10">
        <v>0.98499999999999999</v>
      </c>
      <c r="N122" s="10" t="s">
        <v>72</v>
      </c>
      <c r="O122" s="11" t="str">
        <f>IF(OR(F122&lt;Thresholds!$B$6,H122&gt;=Thresholds!$B$7,K122&gt;=Thresholds!$B$9,L122&gt;Thresholds!$B$11,G122&gt;Thresholds!$B$10),"ISOLATE",IF(AND(F122&gt;=Thresholds!$B$5,K122&lt;=Thresholds!$B$8),"SAFE","DEGRADE/USE"))</f>
        <v>ISOLATE</v>
      </c>
      <c r="P122" s="12">
        <f>Thresholds!$B$14*MIN(100-F122,40)/40+Thresholds!$B$15*MIN(H122,90)/90+Thresholds!$B$16*MIN(K122,100)/100+Thresholds!$B$17*MIN(I122,1600)/1600+Thresholds!$B$18*MIN(J122,5)/5+Thresholds!$B$19*MAX(0,G122-25)/25</f>
        <v>46.022222222222219</v>
      </c>
      <c r="Q122" s="11" t="str">
        <f>IF(P122&gt;Thresholds!$B$13,"High Risk",IF(P122&gt;Thresholds!$B$12,"Moderate Risk","Low Risk"))</f>
        <v>Moderate Risk</v>
      </c>
      <c r="R122" s="11" t="str">
        <f>TRIM(IF(F122&lt;Thresholds!$B$6,"Low SOH; ","")&amp;IF(H122&gt;=Thresholds!$B$7,"High IR; ","")&amp;IF(K122&gt;=Thresholds!$B$9,"High Imbalance; ","")&amp;IF(L122&gt;Thresholds!$B$11,"Sustained Heat 24h; ","")&amp;IF(G122&gt;Thresholds!$B$10,"High Temp; ",""))</f>
        <v>Sustained Heat 24h;</v>
      </c>
    </row>
    <row r="123" spans="1:18" x14ac:dyDescent="0.3">
      <c r="A123" s="10" t="s">
        <v>194</v>
      </c>
      <c r="B123" s="10" t="s">
        <v>71</v>
      </c>
      <c r="C123" s="10">
        <v>48</v>
      </c>
      <c r="D123" s="10">
        <v>40</v>
      </c>
      <c r="E123" s="10">
        <v>86.4</v>
      </c>
      <c r="F123" s="10">
        <v>87.6</v>
      </c>
      <c r="G123" s="10">
        <v>26.7</v>
      </c>
      <c r="H123" s="10">
        <v>56</v>
      </c>
      <c r="I123" s="10">
        <v>701</v>
      </c>
      <c r="J123" s="10">
        <v>0.72</v>
      </c>
      <c r="K123" s="10">
        <v>16.2</v>
      </c>
      <c r="L123" s="10">
        <v>27.9</v>
      </c>
      <c r="M123" s="10">
        <v>1.454</v>
      </c>
      <c r="N123" s="10" t="s">
        <v>72</v>
      </c>
      <c r="O123" s="11" t="str">
        <f>IF(OR(F123&lt;Thresholds!$B$6,H123&gt;=Thresholds!$B$7,K123&gt;=Thresholds!$B$9,L123&gt;Thresholds!$B$11,G123&gt;Thresholds!$B$10),"ISOLATE",IF(AND(F123&gt;=Thresholds!$B$5,K123&lt;=Thresholds!$B$8),"SAFE","DEGRADE/USE"))</f>
        <v>SAFE</v>
      </c>
      <c r="P123" s="12">
        <f>Thresholds!$B$14*MIN(100-F123,40)/40+Thresholds!$B$15*MIN(H123,90)/90+Thresholds!$B$16*MIN(K123,100)/100+Thresholds!$B$17*MIN(I123,1600)/1600+Thresholds!$B$18*MIN(J123,5)/5+Thresholds!$B$19*MAX(0,G123-25)/25</f>
        <v>35.086805555555557</v>
      </c>
      <c r="Q123" s="11" t="str">
        <f>IF(P123&gt;Thresholds!$B$13,"High Risk",IF(P123&gt;Thresholds!$B$12,"Moderate Risk","Low Risk"))</f>
        <v>Moderate Risk</v>
      </c>
      <c r="R123" s="11" t="str">
        <f>TRIM(IF(F123&lt;Thresholds!$B$6,"Low SOH; ","")&amp;IF(H123&gt;=Thresholds!$B$7,"High IR; ","")&amp;IF(K123&gt;=Thresholds!$B$9,"High Imbalance; ","")&amp;IF(L123&gt;Thresholds!$B$11,"Sustained Heat 24h; ","")&amp;IF(G123&gt;Thresholds!$B$10,"High Temp; ",""))</f>
        <v/>
      </c>
    </row>
    <row r="124" spans="1:18" x14ac:dyDescent="0.3">
      <c r="A124" s="10" t="s">
        <v>195</v>
      </c>
      <c r="B124" s="10" t="s">
        <v>71</v>
      </c>
      <c r="C124" s="10">
        <v>48</v>
      </c>
      <c r="D124" s="10">
        <v>40</v>
      </c>
      <c r="E124" s="10">
        <v>100</v>
      </c>
      <c r="F124" s="10">
        <v>64.599999999999994</v>
      </c>
      <c r="G124" s="10">
        <v>32.700000000000003</v>
      </c>
      <c r="H124" s="10">
        <v>77.7</v>
      </c>
      <c r="I124" s="10">
        <v>1580</v>
      </c>
      <c r="J124" s="10">
        <v>3.98</v>
      </c>
      <c r="K124" s="10">
        <v>75.2</v>
      </c>
      <c r="L124" s="10">
        <v>36.6</v>
      </c>
      <c r="M124" s="10">
        <v>1.2410000000000001</v>
      </c>
      <c r="N124" s="10" t="s">
        <v>80</v>
      </c>
      <c r="O124" s="11" t="str">
        <f>IF(OR(F124&lt;Thresholds!$B$6,H124&gt;=Thresholds!$B$7,K124&gt;=Thresholds!$B$9,L124&gt;Thresholds!$B$11,G124&gt;Thresholds!$B$10),"ISOLATE",IF(AND(F124&gt;=Thresholds!$B$5,K124&lt;=Thresholds!$B$8),"SAFE","DEGRADE/USE"))</f>
        <v>DEGRADE/USE</v>
      </c>
      <c r="P124" s="12">
        <f>Thresholds!$B$14*MIN(100-F124,40)/40+Thresholds!$B$15*MIN(H124,90)/90+Thresholds!$B$16*MIN(K124,100)/100+Thresholds!$B$17*MIN(I124,1600)/1600+Thresholds!$B$18*MIN(J124,5)/5+Thresholds!$B$19*MAX(0,G124-25)/25</f>
        <v>82.993333333333339</v>
      </c>
      <c r="Q124" s="11" t="str">
        <f>IF(P124&gt;Thresholds!$B$13,"High Risk",IF(P124&gt;Thresholds!$B$12,"Moderate Risk","Low Risk"))</f>
        <v>High Risk</v>
      </c>
      <c r="R124" s="11" t="str">
        <f>TRIM(IF(F124&lt;Thresholds!$B$6,"Low SOH; ","")&amp;IF(H124&gt;=Thresholds!$B$7,"High IR; ","")&amp;IF(K124&gt;=Thresholds!$B$9,"High Imbalance; ","")&amp;IF(L124&gt;Thresholds!$B$11,"Sustained Heat 24h; ","")&amp;IF(G124&gt;Thresholds!$B$10,"High Temp; ",""))</f>
        <v/>
      </c>
    </row>
    <row r="125" spans="1:18" x14ac:dyDescent="0.3">
      <c r="A125" s="10" t="s">
        <v>196</v>
      </c>
      <c r="B125" s="10" t="s">
        <v>71</v>
      </c>
      <c r="C125" s="10">
        <v>48</v>
      </c>
      <c r="D125" s="10">
        <v>40</v>
      </c>
      <c r="E125" s="10">
        <v>83.3</v>
      </c>
      <c r="F125" s="10">
        <v>73.8</v>
      </c>
      <c r="G125" s="10">
        <v>29.9</v>
      </c>
      <c r="H125" s="10">
        <v>74.099999999999994</v>
      </c>
      <c r="I125" s="10">
        <v>1176</v>
      </c>
      <c r="J125" s="10">
        <v>3.43</v>
      </c>
      <c r="K125" s="10">
        <v>60.8</v>
      </c>
      <c r="L125" s="10">
        <v>36.9</v>
      </c>
      <c r="M125" s="10">
        <v>1.18</v>
      </c>
      <c r="N125" s="10" t="s">
        <v>72</v>
      </c>
      <c r="O125" s="11" t="str">
        <f>IF(OR(F125&lt;Thresholds!$B$6,H125&gt;=Thresholds!$B$7,K125&gt;=Thresholds!$B$9,L125&gt;Thresholds!$B$11,G125&gt;Thresholds!$B$10),"ISOLATE",IF(AND(F125&gt;=Thresholds!$B$5,K125&lt;=Thresholds!$B$8),"SAFE","DEGRADE/USE"))</f>
        <v>DEGRADE/USE</v>
      </c>
      <c r="P125" s="12">
        <f>Thresholds!$B$14*MIN(100-F125,40)/40+Thresholds!$B$15*MIN(H125,90)/90+Thresholds!$B$16*MIN(K125,100)/100+Thresholds!$B$17*MIN(I125,1600)/1600+Thresholds!$B$18*MIN(J125,5)/5+Thresholds!$B$19*MAX(0,G125-25)/25</f>
        <v>67.428333333333342</v>
      </c>
      <c r="Q125" s="11" t="str">
        <f>IF(P125&gt;Thresholds!$B$13,"High Risk",IF(P125&gt;Thresholds!$B$12,"Moderate Risk","Low Risk"))</f>
        <v>High Risk</v>
      </c>
      <c r="R125" s="11" t="str">
        <f>TRIM(IF(F125&lt;Thresholds!$B$6,"Low SOH; ","")&amp;IF(H125&gt;=Thresholds!$B$7,"High IR; ","")&amp;IF(K125&gt;=Thresholds!$B$9,"High Imbalance; ","")&amp;IF(L125&gt;Thresholds!$B$11,"Sustained Heat 24h; ","")&amp;IF(G125&gt;Thresholds!$B$10,"High Temp; ",""))</f>
        <v/>
      </c>
    </row>
    <row r="126" spans="1:18" x14ac:dyDescent="0.3">
      <c r="A126" s="10" t="s">
        <v>197</v>
      </c>
      <c r="B126" s="10" t="s">
        <v>71</v>
      </c>
      <c r="C126" s="10">
        <v>48</v>
      </c>
      <c r="D126" s="10">
        <v>40</v>
      </c>
      <c r="E126" s="10">
        <v>98.8</v>
      </c>
      <c r="F126" s="10">
        <v>73</v>
      </c>
      <c r="G126" s="10">
        <v>26.7</v>
      </c>
      <c r="H126" s="10">
        <v>60.2</v>
      </c>
      <c r="I126" s="10">
        <v>1067</v>
      </c>
      <c r="J126" s="10">
        <v>4.0199999999999996</v>
      </c>
      <c r="K126" s="10">
        <v>57.3</v>
      </c>
      <c r="L126" s="10">
        <v>34</v>
      </c>
      <c r="M126" s="10">
        <v>1.385</v>
      </c>
      <c r="N126" s="10" t="s">
        <v>72</v>
      </c>
      <c r="O126" s="11" t="str">
        <f>IF(OR(F126&lt;Thresholds!$B$6,H126&gt;=Thresholds!$B$7,K126&gt;=Thresholds!$B$9,L126&gt;Thresholds!$B$11,G126&gt;Thresholds!$B$10),"ISOLATE",IF(AND(F126&gt;=Thresholds!$B$5,K126&lt;=Thresholds!$B$8),"SAFE","DEGRADE/USE"))</f>
        <v>DEGRADE/USE</v>
      </c>
      <c r="P126" s="12">
        <f>Thresholds!$B$14*MIN(100-F126,40)/40+Thresholds!$B$15*MIN(H126,90)/90+Thresholds!$B$16*MIN(K126,100)/100+Thresholds!$B$17*MIN(I126,1600)/1600+Thresholds!$B$18*MIN(J126,5)/5+Thresholds!$B$19*MAX(0,G126-25)/25</f>
        <v>62.835972222222225</v>
      </c>
      <c r="Q126" s="11" t="str">
        <f>IF(P126&gt;Thresholds!$B$13,"High Risk",IF(P126&gt;Thresholds!$B$12,"Moderate Risk","Low Risk"))</f>
        <v>Moderate Risk</v>
      </c>
      <c r="R126" s="11" t="str">
        <f>TRIM(IF(F126&lt;Thresholds!$B$6,"Low SOH; ","")&amp;IF(H126&gt;=Thresholds!$B$7,"High IR; ","")&amp;IF(K126&gt;=Thresholds!$B$9,"High Imbalance; ","")&amp;IF(L126&gt;Thresholds!$B$11,"Sustained Heat 24h; ","")&amp;IF(G126&gt;Thresholds!$B$10,"High Temp; ",""))</f>
        <v/>
      </c>
    </row>
    <row r="127" spans="1:18" x14ac:dyDescent="0.3">
      <c r="A127" s="10" t="s">
        <v>198</v>
      </c>
      <c r="B127" s="10" t="s">
        <v>71</v>
      </c>
      <c r="C127" s="10">
        <v>48</v>
      </c>
      <c r="D127" s="10">
        <v>40</v>
      </c>
      <c r="E127" s="10">
        <v>49.7</v>
      </c>
      <c r="F127" s="10">
        <v>80.5</v>
      </c>
      <c r="G127" s="10">
        <v>24.7</v>
      </c>
      <c r="H127" s="10">
        <v>62.9</v>
      </c>
      <c r="I127" s="10">
        <v>722</v>
      </c>
      <c r="J127" s="10">
        <v>2.36</v>
      </c>
      <c r="K127" s="10">
        <v>45.8</v>
      </c>
      <c r="L127" s="10">
        <v>25.3</v>
      </c>
      <c r="M127" s="10">
        <v>0.76800000000000002</v>
      </c>
      <c r="N127" s="10" t="s">
        <v>72</v>
      </c>
      <c r="O127" s="11" t="str">
        <f>IF(OR(F127&lt;Thresholds!$B$6,H127&gt;=Thresholds!$B$7,K127&gt;=Thresholds!$B$9,L127&gt;Thresholds!$B$11,G127&gt;Thresholds!$B$10),"ISOLATE",IF(AND(F127&gt;=Thresholds!$B$5,K127&lt;=Thresholds!$B$8),"SAFE","DEGRADE/USE"))</f>
        <v>SAFE</v>
      </c>
      <c r="P127" s="12">
        <f>Thresholds!$B$14*MIN(100-F127,40)/40+Thresholds!$B$15*MIN(H127,90)/90+Thresholds!$B$16*MIN(K127,100)/100+Thresholds!$B$17*MIN(I127,1600)/1600+Thresholds!$B$18*MIN(J127,5)/5+Thresholds!$B$19*MAX(0,G127-25)/25</f>
        <v>50.567222222222227</v>
      </c>
      <c r="Q127" s="11" t="str">
        <f>IF(P127&gt;Thresholds!$B$13,"High Risk",IF(P127&gt;Thresholds!$B$12,"Moderate Risk","Low Risk"))</f>
        <v>Moderate Risk</v>
      </c>
      <c r="R127" s="11" t="str">
        <f>TRIM(IF(F127&lt;Thresholds!$B$6,"Low SOH; ","")&amp;IF(H127&gt;=Thresholds!$B$7,"High IR; ","")&amp;IF(K127&gt;=Thresholds!$B$9,"High Imbalance; ","")&amp;IF(L127&gt;Thresholds!$B$11,"Sustained Heat 24h; ","")&amp;IF(G127&gt;Thresholds!$B$10,"High Temp; ",""))</f>
        <v/>
      </c>
    </row>
    <row r="128" spans="1:18" x14ac:dyDescent="0.3">
      <c r="A128" s="10" t="s">
        <v>199</v>
      </c>
      <c r="B128" s="10" t="s">
        <v>71</v>
      </c>
      <c r="C128" s="10">
        <v>48</v>
      </c>
      <c r="D128" s="10">
        <v>40</v>
      </c>
      <c r="E128" s="10">
        <v>65.2</v>
      </c>
      <c r="F128" s="10">
        <v>80.5</v>
      </c>
      <c r="G128" s="10">
        <v>36.799999999999997</v>
      </c>
      <c r="H128" s="10">
        <v>59.2</v>
      </c>
      <c r="I128" s="10">
        <v>1045</v>
      </c>
      <c r="J128" s="10">
        <v>1.53</v>
      </c>
      <c r="K128" s="10">
        <v>39.1</v>
      </c>
      <c r="L128" s="10">
        <v>44</v>
      </c>
      <c r="M128" s="10">
        <v>1.0069999999999999</v>
      </c>
      <c r="N128" s="10" t="s">
        <v>72</v>
      </c>
      <c r="O128" s="11" t="str">
        <f>IF(OR(F128&lt;Thresholds!$B$6,H128&gt;=Thresholds!$B$7,K128&gt;=Thresholds!$B$9,L128&gt;Thresholds!$B$11,G128&gt;Thresholds!$B$10),"ISOLATE",IF(AND(F128&gt;=Thresholds!$B$5,K128&lt;=Thresholds!$B$8),"SAFE","DEGRADE/USE"))</f>
        <v>SAFE</v>
      </c>
      <c r="P128" s="12">
        <f>Thresholds!$B$14*MIN(100-F128,40)/40+Thresholds!$B$15*MIN(H128,90)/90+Thresholds!$B$16*MIN(K128,100)/100+Thresholds!$B$17*MIN(I128,1600)/1600+Thresholds!$B$18*MIN(J128,5)/5+Thresholds!$B$19*MAX(0,G128-25)/25</f>
        <v>51.748194444444444</v>
      </c>
      <c r="Q128" s="11" t="str">
        <f>IF(P128&gt;Thresholds!$B$13,"High Risk",IF(P128&gt;Thresholds!$B$12,"Moderate Risk","Low Risk"))</f>
        <v>Moderate Risk</v>
      </c>
      <c r="R128" s="11" t="str">
        <f>TRIM(IF(F128&lt;Thresholds!$B$6,"Low SOH; ","")&amp;IF(H128&gt;=Thresholds!$B$7,"High IR; ","")&amp;IF(K128&gt;=Thresholds!$B$9,"High Imbalance; ","")&amp;IF(L128&gt;Thresholds!$B$11,"Sustained Heat 24h; ","")&amp;IF(G128&gt;Thresholds!$B$10,"High Temp; ",""))</f>
        <v/>
      </c>
    </row>
    <row r="129" spans="1:18" x14ac:dyDescent="0.3">
      <c r="A129" s="10" t="s">
        <v>200</v>
      </c>
      <c r="B129" s="10" t="s">
        <v>71</v>
      </c>
      <c r="C129" s="10">
        <v>48</v>
      </c>
      <c r="D129" s="10">
        <v>40</v>
      </c>
      <c r="E129" s="10">
        <v>77.099999999999994</v>
      </c>
      <c r="F129" s="10">
        <v>72.400000000000006</v>
      </c>
      <c r="G129" s="10">
        <v>30</v>
      </c>
      <c r="H129" s="10">
        <v>63.8</v>
      </c>
      <c r="I129" s="10">
        <v>1121</v>
      </c>
      <c r="J129" s="10">
        <v>3.51</v>
      </c>
      <c r="K129" s="10">
        <v>65.099999999999994</v>
      </c>
      <c r="L129" s="10">
        <v>36.5</v>
      </c>
      <c r="M129" s="10">
        <v>1.0720000000000001</v>
      </c>
      <c r="N129" s="10" t="s">
        <v>72</v>
      </c>
      <c r="O129" s="11" t="str">
        <f>IF(OR(F129&lt;Thresholds!$B$6,H129&gt;=Thresholds!$B$7,K129&gt;=Thresholds!$B$9,L129&gt;Thresholds!$B$11,G129&gt;Thresholds!$B$10),"ISOLATE",IF(AND(F129&gt;=Thresholds!$B$5,K129&lt;=Thresholds!$B$8),"SAFE","DEGRADE/USE"))</f>
        <v>DEGRADE/USE</v>
      </c>
      <c r="P129" s="12">
        <f>Thresholds!$B$14*MIN(100-F129,40)/40+Thresholds!$B$15*MIN(H129,90)/90+Thresholds!$B$16*MIN(K129,100)/100+Thresholds!$B$17*MIN(I129,1600)/1600+Thresholds!$B$18*MIN(J129,5)/5+Thresholds!$B$19*MAX(0,G129-25)/25</f>
        <v>66.408472222222215</v>
      </c>
      <c r="Q129" s="11" t="str">
        <f>IF(P129&gt;Thresholds!$B$13,"High Risk",IF(P129&gt;Thresholds!$B$12,"Moderate Risk","Low Risk"))</f>
        <v>High Risk</v>
      </c>
      <c r="R129" s="11" t="str">
        <f>TRIM(IF(F129&lt;Thresholds!$B$6,"Low SOH; ","")&amp;IF(H129&gt;=Thresholds!$B$7,"High IR; ","")&amp;IF(K129&gt;=Thresholds!$B$9,"High Imbalance; ","")&amp;IF(L129&gt;Thresholds!$B$11,"Sustained Heat 24h; ","")&amp;IF(G129&gt;Thresholds!$B$10,"High Temp; ",""))</f>
        <v/>
      </c>
    </row>
    <row r="130" spans="1:18" x14ac:dyDescent="0.3">
      <c r="A130" s="10" t="s">
        <v>201</v>
      </c>
      <c r="B130" s="10" t="s">
        <v>71</v>
      </c>
      <c r="C130" s="10">
        <v>48</v>
      </c>
      <c r="D130" s="10">
        <v>40</v>
      </c>
      <c r="E130" s="10">
        <v>50.6</v>
      </c>
      <c r="F130" s="10">
        <v>90.6</v>
      </c>
      <c r="G130" s="10">
        <v>26.4</v>
      </c>
      <c r="H130" s="10">
        <v>44.9</v>
      </c>
      <c r="I130" s="10">
        <v>321</v>
      </c>
      <c r="J130" s="10">
        <v>1.92</v>
      </c>
      <c r="K130" s="10">
        <v>22.8</v>
      </c>
      <c r="L130" s="10">
        <v>31.3</v>
      </c>
      <c r="M130" s="10">
        <v>0.879</v>
      </c>
      <c r="N130" s="10" t="s">
        <v>72</v>
      </c>
      <c r="O130" s="11" t="str">
        <f>IF(OR(F130&lt;Thresholds!$B$6,H130&gt;=Thresholds!$B$7,K130&gt;=Thresholds!$B$9,L130&gt;Thresholds!$B$11,G130&gt;Thresholds!$B$10),"ISOLATE",IF(AND(F130&gt;=Thresholds!$B$5,K130&lt;=Thresholds!$B$8),"SAFE","DEGRADE/USE"))</f>
        <v>SAFE</v>
      </c>
      <c r="P130" s="12">
        <f>Thresholds!$B$14*MIN(100-F130,40)/40+Thresholds!$B$15*MIN(H130,90)/90+Thresholds!$B$16*MIN(K130,100)/100+Thresholds!$B$17*MIN(I130,1600)/1600+Thresholds!$B$18*MIN(J130,5)/5+Thresholds!$B$19*MAX(0,G130-25)/25</f>
        <v>29.463472222222229</v>
      </c>
      <c r="Q130" s="11" t="str">
        <f>IF(P130&gt;Thresholds!$B$13,"High Risk",IF(P130&gt;Thresholds!$B$12,"Moderate Risk","Low Risk"))</f>
        <v>Low Risk</v>
      </c>
      <c r="R130" s="11" t="str">
        <f>TRIM(IF(F130&lt;Thresholds!$B$6,"Low SOH; ","")&amp;IF(H130&gt;=Thresholds!$B$7,"High IR; ","")&amp;IF(K130&gt;=Thresholds!$B$9,"High Imbalance; ","")&amp;IF(L130&gt;Thresholds!$B$11,"Sustained Heat 24h; ","")&amp;IF(G130&gt;Thresholds!$B$10,"High Temp; ",""))</f>
        <v/>
      </c>
    </row>
    <row r="131" spans="1:18" x14ac:dyDescent="0.3">
      <c r="A131" s="10" t="s">
        <v>202</v>
      </c>
      <c r="B131" s="10" t="s">
        <v>71</v>
      </c>
      <c r="C131" s="10">
        <v>48</v>
      </c>
      <c r="D131" s="10">
        <v>40</v>
      </c>
      <c r="E131" s="10">
        <v>99.6</v>
      </c>
      <c r="F131" s="10">
        <v>62.7</v>
      </c>
      <c r="G131" s="10">
        <v>28.5</v>
      </c>
      <c r="H131" s="10">
        <v>81.900000000000006</v>
      </c>
      <c r="I131" s="10">
        <v>1592</v>
      </c>
      <c r="J131" s="10">
        <v>3.5</v>
      </c>
      <c r="K131" s="10">
        <v>83.2</v>
      </c>
      <c r="L131" s="10">
        <v>31.7</v>
      </c>
      <c r="M131" s="10">
        <v>1.1990000000000001</v>
      </c>
      <c r="N131" s="10" t="s">
        <v>80</v>
      </c>
      <c r="O131" s="11" t="str">
        <f>IF(OR(F131&lt;Thresholds!$B$6,H131&gt;=Thresholds!$B$7,K131&gt;=Thresholds!$B$9,L131&gt;Thresholds!$B$11,G131&gt;Thresholds!$B$10),"ISOLATE",IF(AND(F131&gt;=Thresholds!$B$5,K131&lt;=Thresholds!$B$8),"SAFE","DEGRADE/USE"))</f>
        <v>ISOLATE</v>
      </c>
      <c r="P131" s="12">
        <f>Thresholds!$B$14*MIN(100-F131,40)/40+Thresholds!$B$15*MIN(H131,90)/90+Thresholds!$B$16*MIN(K131,100)/100+Thresholds!$B$17*MIN(I131,1600)/1600+Thresholds!$B$18*MIN(J131,5)/5+Thresholds!$B$19*MAX(0,G131-25)/25</f>
        <v>86.177500000000009</v>
      </c>
      <c r="Q131" s="11" t="str">
        <f>IF(P131&gt;Thresholds!$B$13,"High Risk",IF(P131&gt;Thresholds!$B$12,"Moderate Risk","Low Risk"))</f>
        <v>High Risk</v>
      </c>
      <c r="R131" s="11" t="str">
        <f>TRIM(IF(F131&lt;Thresholds!$B$6,"Low SOH; ","")&amp;IF(H131&gt;=Thresholds!$B$7,"High IR; ","")&amp;IF(K131&gt;=Thresholds!$B$9,"High Imbalance; ","")&amp;IF(L131&gt;Thresholds!$B$11,"Sustained Heat 24h; ","")&amp;IF(G131&gt;Thresholds!$B$10,"High Temp; ",""))</f>
        <v>High IR; High Imbalance;</v>
      </c>
    </row>
    <row r="132" spans="1:18" x14ac:dyDescent="0.3">
      <c r="A132" s="10" t="s">
        <v>203</v>
      </c>
      <c r="B132" s="10" t="s">
        <v>71</v>
      </c>
      <c r="C132" s="10">
        <v>48</v>
      </c>
      <c r="D132" s="10">
        <v>40</v>
      </c>
      <c r="E132" s="10">
        <v>97.8</v>
      </c>
      <c r="F132" s="10">
        <v>92.8</v>
      </c>
      <c r="G132" s="10">
        <v>46.7</v>
      </c>
      <c r="H132" s="10">
        <v>50</v>
      </c>
      <c r="I132" s="10">
        <v>282</v>
      </c>
      <c r="J132" s="10">
        <v>0.85</v>
      </c>
      <c r="K132" s="10">
        <v>27.7</v>
      </c>
      <c r="L132" s="10">
        <v>53</v>
      </c>
      <c r="M132" s="10">
        <v>1.742</v>
      </c>
      <c r="N132" s="10" t="s">
        <v>72</v>
      </c>
      <c r="O132" s="11" t="str">
        <f>IF(OR(F132&lt;Thresholds!$B$6,H132&gt;=Thresholds!$B$7,K132&gt;=Thresholds!$B$9,L132&gt;Thresholds!$B$11,G132&gt;Thresholds!$B$10),"ISOLATE",IF(AND(F132&gt;=Thresholds!$B$5,K132&lt;=Thresholds!$B$8),"SAFE","DEGRADE/USE"))</f>
        <v>ISOLATE</v>
      </c>
      <c r="P132" s="12">
        <f>Thresholds!$B$14*MIN(100-F132,40)/40+Thresholds!$B$15*MIN(H132,90)/90+Thresholds!$B$16*MIN(K132,100)/100+Thresholds!$B$17*MIN(I132,1600)/1600+Thresholds!$B$18*MIN(J132,5)/5+Thresholds!$B$19*MAX(0,G132-25)/25</f>
        <v>32.68138888888889</v>
      </c>
      <c r="Q132" s="11" t="str">
        <f>IF(P132&gt;Thresholds!$B$13,"High Risk",IF(P132&gt;Thresholds!$B$12,"Moderate Risk","Low Risk"))</f>
        <v>Low Risk</v>
      </c>
      <c r="R132" s="11" t="str">
        <f>TRIM(IF(F132&lt;Thresholds!$B$6,"Low SOH; ","")&amp;IF(H132&gt;=Thresholds!$B$7,"High IR; ","")&amp;IF(K132&gt;=Thresholds!$B$9,"High Imbalance; ","")&amp;IF(L132&gt;Thresholds!$B$11,"Sustained Heat 24h; ","")&amp;IF(G132&gt;Thresholds!$B$10,"High Temp; ",""))</f>
        <v>Sustained Heat 24h; High Temp;</v>
      </c>
    </row>
    <row r="133" spans="1:18" x14ac:dyDescent="0.3">
      <c r="A133" s="10" t="s">
        <v>204</v>
      </c>
      <c r="B133" s="10" t="s">
        <v>71</v>
      </c>
      <c r="C133" s="10">
        <v>48</v>
      </c>
      <c r="D133" s="10">
        <v>40</v>
      </c>
      <c r="E133" s="10">
        <v>82.9</v>
      </c>
      <c r="F133" s="10">
        <v>90.8</v>
      </c>
      <c r="G133" s="10">
        <v>31.3</v>
      </c>
      <c r="H133" s="10">
        <v>47.3</v>
      </c>
      <c r="I133" s="10">
        <v>404</v>
      </c>
      <c r="J133" s="10">
        <v>1.88</v>
      </c>
      <c r="K133" s="10">
        <v>28.2</v>
      </c>
      <c r="L133" s="10">
        <v>33</v>
      </c>
      <c r="M133" s="10">
        <v>1.4450000000000001</v>
      </c>
      <c r="N133" s="10" t="s">
        <v>72</v>
      </c>
      <c r="O133" s="11" t="str">
        <f>IF(OR(F133&lt;Thresholds!$B$6,H133&gt;=Thresholds!$B$7,K133&gt;=Thresholds!$B$9,L133&gt;Thresholds!$B$11,G133&gt;Thresholds!$B$10),"ISOLATE",IF(AND(F133&gt;=Thresholds!$B$5,K133&lt;=Thresholds!$B$8),"SAFE","DEGRADE/USE"))</f>
        <v>SAFE</v>
      </c>
      <c r="P133" s="12">
        <f>Thresholds!$B$14*MIN(100-F133,40)/40+Thresholds!$B$15*MIN(H133,90)/90+Thresholds!$B$16*MIN(K133,100)/100+Thresholds!$B$17*MIN(I133,1600)/1600+Thresholds!$B$18*MIN(J133,5)/5+Thresholds!$B$19*MAX(0,G133-25)/25</f>
        <v>32.49388888888889</v>
      </c>
      <c r="Q133" s="11" t="str">
        <f>IF(P133&gt;Thresholds!$B$13,"High Risk",IF(P133&gt;Thresholds!$B$12,"Moderate Risk","Low Risk"))</f>
        <v>Low Risk</v>
      </c>
      <c r="R133" s="11" t="str">
        <f>TRIM(IF(F133&lt;Thresholds!$B$6,"Low SOH; ","")&amp;IF(H133&gt;=Thresholds!$B$7,"High IR; ","")&amp;IF(K133&gt;=Thresholds!$B$9,"High Imbalance; ","")&amp;IF(L133&gt;Thresholds!$B$11,"Sustained Heat 24h; ","")&amp;IF(G133&gt;Thresholds!$B$10,"High Temp; ",""))</f>
        <v/>
      </c>
    </row>
    <row r="134" spans="1:18" x14ac:dyDescent="0.3">
      <c r="A134" s="10" t="s">
        <v>205</v>
      </c>
      <c r="B134" s="10" t="s">
        <v>71</v>
      </c>
      <c r="C134" s="10">
        <v>48</v>
      </c>
      <c r="D134" s="10">
        <v>40</v>
      </c>
      <c r="E134" s="10">
        <v>85.5</v>
      </c>
      <c r="F134" s="10">
        <v>82.7</v>
      </c>
      <c r="G134" s="10">
        <v>27.6</v>
      </c>
      <c r="H134" s="10">
        <v>57.7</v>
      </c>
      <c r="I134" s="10">
        <v>637</v>
      </c>
      <c r="J134" s="10">
        <v>4.25</v>
      </c>
      <c r="K134" s="10">
        <v>45.1</v>
      </c>
      <c r="L134" s="10">
        <v>33.9</v>
      </c>
      <c r="M134" s="10">
        <v>1.357</v>
      </c>
      <c r="N134" s="10" t="s">
        <v>72</v>
      </c>
      <c r="O134" s="11" t="str">
        <f>IF(OR(F134&lt;Thresholds!$B$6,H134&gt;=Thresholds!$B$7,K134&gt;=Thresholds!$B$9,L134&gt;Thresholds!$B$11,G134&gt;Thresholds!$B$10),"ISOLATE",IF(AND(F134&gt;=Thresholds!$B$5,K134&lt;=Thresholds!$B$8),"SAFE","DEGRADE/USE"))</f>
        <v>SAFE</v>
      </c>
      <c r="P134" s="12">
        <f>Thresholds!$B$14*MIN(100-F134,40)/40+Thresholds!$B$15*MIN(H134,90)/90+Thresholds!$B$16*MIN(K134,100)/100+Thresholds!$B$17*MIN(I134,1600)/1600+Thresholds!$B$18*MIN(J134,5)/5+Thresholds!$B$19*MAX(0,G134-25)/25</f>
        <v>48.936527777777776</v>
      </c>
      <c r="Q134" s="11" t="str">
        <f>IF(P134&gt;Thresholds!$B$13,"High Risk",IF(P134&gt;Thresholds!$B$12,"Moderate Risk","Low Risk"))</f>
        <v>Moderate Risk</v>
      </c>
      <c r="R134" s="11" t="str">
        <f>TRIM(IF(F134&lt;Thresholds!$B$6,"Low SOH; ","")&amp;IF(H134&gt;=Thresholds!$B$7,"High IR; ","")&amp;IF(K134&gt;=Thresholds!$B$9,"High Imbalance; ","")&amp;IF(L134&gt;Thresholds!$B$11,"Sustained Heat 24h; ","")&amp;IF(G134&gt;Thresholds!$B$10,"High Temp; ",""))</f>
        <v/>
      </c>
    </row>
    <row r="135" spans="1:18" x14ac:dyDescent="0.3">
      <c r="A135" s="10" t="s">
        <v>206</v>
      </c>
      <c r="B135" s="10" t="s">
        <v>71</v>
      </c>
      <c r="C135" s="10">
        <v>48</v>
      </c>
      <c r="D135" s="10">
        <v>40</v>
      </c>
      <c r="E135" s="10">
        <v>71.3</v>
      </c>
      <c r="F135" s="10">
        <v>75.099999999999994</v>
      </c>
      <c r="G135" s="10">
        <v>30</v>
      </c>
      <c r="H135" s="10">
        <v>65</v>
      </c>
      <c r="I135" s="10">
        <v>1223</v>
      </c>
      <c r="J135" s="10">
        <v>1.46</v>
      </c>
      <c r="K135" s="10">
        <v>58.5</v>
      </c>
      <c r="L135" s="10">
        <v>30.8</v>
      </c>
      <c r="M135" s="10">
        <v>1.028</v>
      </c>
      <c r="N135" s="10" t="s">
        <v>72</v>
      </c>
      <c r="O135" s="11" t="str">
        <f>IF(OR(F135&lt;Thresholds!$B$6,H135&gt;=Thresholds!$B$7,K135&gt;=Thresholds!$B$9,L135&gt;Thresholds!$B$11,G135&gt;Thresholds!$B$10),"ISOLATE",IF(AND(F135&gt;=Thresholds!$B$5,K135&lt;=Thresholds!$B$8),"SAFE","DEGRADE/USE"))</f>
        <v>DEGRADE/USE</v>
      </c>
      <c r="P135" s="12">
        <f>Thresholds!$B$14*MIN(100-F135,40)/40+Thresholds!$B$15*MIN(H135,90)/90+Thresholds!$B$16*MIN(K135,100)/100+Thresholds!$B$17*MIN(I135,1600)/1600+Thresholds!$B$18*MIN(J135,5)/5+Thresholds!$B$19*MAX(0,G135-25)/25</f>
        <v>61.646805555555567</v>
      </c>
      <c r="Q135" s="11" t="str">
        <f>IF(P135&gt;Thresholds!$B$13,"High Risk",IF(P135&gt;Thresholds!$B$12,"Moderate Risk","Low Risk"))</f>
        <v>Moderate Risk</v>
      </c>
      <c r="R135" s="11" t="str">
        <f>TRIM(IF(F135&lt;Thresholds!$B$6,"Low SOH; ","")&amp;IF(H135&gt;=Thresholds!$B$7,"High IR; ","")&amp;IF(K135&gt;=Thresholds!$B$9,"High Imbalance; ","")&amp;IF(L135&gt;Thresholds!$B$11,"Sustained Heat 24h; ","")&amp;IF(G135&gt;Thresholds!$B$10,"High Temp; ",""))</f>
        <v/>
      </c>
    </row>
    <row r="136" spans="1:18" x14ac:dyDescent="0.3">
      <c r="A136" s="10" t="s">
        <v>207</v>
      </c>
      <c r="B136" s="10" t="s">
        <v>71</v>
      </c>
      <c r="C136" s="10">
        <v>48</v>
      </c>
      <c r="D136" s="10">
        <v>40</v>
      </c>
      <c r="E136" s="10">
        <v>53</v>
      </c>
      <c r="F136" s="10">
        <v>93</v>
      </c>
      <c r="G136" s="10">
        <v>37.1</v>
      </c>
      <c r="H136" s="10">
        <v>44.3</v>
      </c>
      <c r="I136" s="10">
        <v>283</v>
      </c>
      <c r="J136" s="10">
        <v>1.18</v>
      </c>
      <c r="K136" s="10">
        <v>22.2</v>
      </c>
      <c r="L136" s="10">
        <v>37.5</v>
      </c>
      <c r="M136" s="10">
        <v>0.94699999999999995</v>
      </c>
      <c r="N136" s="10" t="s">
        <v>72</v>
      </c>
      <c r="O136" s="11" t="str">
        <f>IF(OR(F136&lt;Thresholds!$B$6,H136&gt;=Thresholds!$B$7,K136&gt;=Thresholds!$B$9,L136&gt;Thresholds!$B$11,G136&gt;Thresholds!$B$10),"ISOLATE",IF(AND(F136&gt;=Thresholds!$B$5,K136&lt;=Thresholds!$B$8),"SAFE","DEGRADE/USE"))</f>
        <v>SAFE</v>
      </c>
      <c r="P136" s="12">
        <f>Thresholds!$B$14*MIN(100-F136,40)/40+Thresholds!$B$15*MIN(H136,90)/90+Thresholds!$B$16*MIN(K136,100)/100+Thresholds!$B$17*MIN(I136,1600)/1600+Thresholds!$B$18*MIN(J136,5)/5+Thresholds!$B$19*MAX(0,G136-25)/25</f>
        <v>28.239305555555561</v>
      </c>
      <c r="Q136" s="11" t="str">
        <f>IF(P136&gt;Thresholds!$B$13,"High Risk",IF(P136&gt;Thresholds!$B$12,"Moderate Risk","Low Risk"))</f>
        <v>Low Risk</v>
      </c>
      <c r="R136" s="11" t="str">
        <f>TRIM(IF(F136&lt;Thresholds!$B$6,"Low SOH; ","")&amp;IF(H136&gt;=Thresholds!$B$7,"High IR; ","")&amp;IF(K136&gt;=Thresholds!$B$9,"High Imbalance; ","")&amp;IF(L136&gt;Thresholds!$B$11,"Sustained Heat 24h; ","")&amp;IF(G136&gt;Thresholds!$B$10,"High Temp; ",""))</f>
        <v/>
      </c>
    </row>
    <row r="137" spans="1:18" x14ac:dyDescent="0.3">
      <c r="A137" s="10" t="s">
        <v>208</v>
      </c>
      <c r="B137" s="10" t="s">
        <v>71</v>
      </c>
      <c r="C137" s="10">
        <v>48</v>
      </c>
      <c r="D137" s="10">
        <v>40</v>
      </c>
      <c r="E137" s="10">
        <v>61.8</v>
      </c>
      <c r="F137" s="10">
        <v>81.400000000000006</v>
      </c>
      <c r="G137" s="10">
        <v>30.6</v>
      </c>
      <c r="H137" s="10">
        <v>69.400000000000006</v>
      </c>
      <c r="I137" s="10">
        <v>783</v>
      </c>
      <c r="J137" s="10">
        <v>2.06</v>
      </c>
      <c r="K137" s="10">
        <v>30.7</v>
      </c>
      <c r="L137" s="10">
        <v>36.1</v>
      </c>
      <c r="M137" s="10">
        <v>0.96499999999999997</v>
      </c>
      <c r="N137" s="10" t="s">
        <v>72</v>
      </c>
      <c r="O137" s="11" t="str">
        <f>IF(OR(F137&lt;Thresholds!$B$6,H137&gt;=Thresholds!$B$7,K137&gt;=Thresholds!$B$9,L137&gt;Thresholds!$B$11,G137&gt;Thresholds!$B$10),"ISOLATE",IF(AND(F137&gt;=Thresholds!$B$5,K137&lt;=Thresholds!$B$8),"SAFE","DEGRADE/USE"))</f>
        <v>SAFE</v>
      </c>
      <c r="P137" s="12">
        <f>Thresholds!$B$14*MIN(100-F137,40)/40+Thresholds!$B$15*MIN(H137,90)/90+Thresholds!$B$16*MIN(K137,100)/100+Thresholds!$B$17*MIN(I137,1600)/1600+Thresholds!$B$18*MIN(J137,5)/5+Thresholds!$B$19*MAX(0,G137-25)/25</f>
        <v>49.766527777777775</v>
      </c>
      <c r="Q137" s="11" t="str">
        <f>IF(P137&gt;Thresholds!$B$13,"High Risk",IF(P137&gt;Thresholds!$B$12,"Moderate Risk","Low Risk"))</f>
        <v>Moderate Risk</v>
      </c>
      <c r="R137" s="11" t="str">
        <f>TRIM(IF(F137&lt;Thresholds!$B$6,"Low SOH; ","")&amp;IF(H137&gt;=Thresholds!$B$7,"High IR; ","")&amp;IF(K137&gt;=Thresholds!$B$9,"High Imbalance; ","")&amp;IF(L137&gt;Thresholds!$B$11,"Sustained Heat 24h; ","")&amp;IF(G137&gt;Thresholds!$B$10,"High Temp; ",""))</f>
        <v/>
      </c>
    </row>
    <row r="138" spans="1:18" x14ac:dyDescent="0.3">
      <c r="A138" s="10" t="s">
        <v>209</v>
      </c>
      <c r="B138" s="10" t="s">
        <v>71</v>
      </c>
      <c r="C138" s="10">
        <v>48</v>
      </c>
      <c r="D138" s="10">
        <v>40</v>
      </c>
      <c r="E138" s="10">
        <v>68.900000000000006</v>
      </c>
      <c r="F138" s="10">
        <v>72</v>
      </c>
      <c r="G138" s="10">
        <v>30.2</v>
      </c>
      <c r="H138" s="10">
        <v>74.400000000000006</v>
      </c>
      <c r="I138" s="10">
        <v>1481</v>
      </c>
      <c r="J138" s="10">
        <v>2.1</v>
      </c>
      <c r="K138" s="10">
        <v>76.8</v>
      </c>
      <c r="L138" s="10">
        <v>36.5</v>
      </c>
      <c r="M138" s="10">
        <v>0.95199999999999996</v>
      </c>
      <c r="N138" s="10" t="s">
        <v>72</v>
      </c>
      <c r="O138" s="11" t="str">
        <f>IF(OR(F138&lt;Thresholds!$B$6,H138&gt;=Thresholds!$B$7,K138&gt;=Thresholds!$B$9,L138&gt;Thresholds!$B$11,G138&gt;Thresholds!$B$10),"ISOLATE",IF(AND(F138&gt;=Thresholds!$B$5,K138&lt;=Thresholds!$B$8),"SAFE","DEGRADE/USE"))</f>
        <v>DEGRADE/USE</v>
      </c>
      <c r="P138" s="12">
        <f>Thresholds!$B$14*MIN(100-F138,40)/40+Thresholds!$B$15*MIN(H138,90)/90+Thresholds!$B$16*MIN(K138,100)/100+Thresholds!$B$17*MIN(I138,1600)/1600+Thresholds!$B$18*MIN(J138,5)/5+Thresholds!$B$19*MAX(0,G138-25)/25</f>
        <v>72.922916666666666</v>
      </c>
      <c r="Q138" s="11" t="str">
        <f>IF(P138&gt;Thresholds!$B$13,"High Risk",IF(P138&gt;Thresholds!$B$12,"Moderate Risk","Low Risk"))</f>
        <v>High Risk</v>
      </c>
      <c r="R138" s="11" t="str">
        <f>TRIM(IF(F138&lt;Thresholds!$B$6,"Low SOH; ","")&amp;IF(H138&gt;=Thresholds!$B$7,"High IR; ","")&amp;IF(K138&gt;=Thresholds!$B$9,"High Imbalance; ","")&amp;IF(L138&gt;Thresholds!$B$11,"Sustained Heat 24h; ","")&amp;IF(G138&gt;Thresholds!$B$10,"High Temp; ",""))</f>
        <v/>
      </c>
    </row>
    <row r="139" spans="1:18" x14ac:dyDescent="0.3">
      <c r="A139" s="10" t="s">
        <v>210</v>
      </c>
      <c r="B139" s="10" t="s">
        <v>71</v>
      </c>
      <c r="C139" s="10">
        <v>48</v>
      </c>
      <c r="D139" s="10">
        <v>40</v>
      </c>
      <c r="E139" s="10">
        <v>78.3</v>
      </c>
      <c r="F139" s="10">
        <v>84.8</v>
      </c>
      <c r="G139" s="10">
        <v>30.8</v>
      </c>
      <c r="H139" s="10">
        <v>63.8</v>
      </c>
      <c r="I139" s="10">
        <v>692</v>
      </c>
      <c r="J139" s="10">
        <v>0.81</v>
      </c>
      <c r="K139" s="10">
        <v>59.9</v>
      </c>
      <c r="L139" s="10">
        <v>38.5</v>
      </c>
      <c r="M139" s="10">
        <v>1.2749999999999999</v>
      </c>
      <c r="N139" s="10" t="s">
        <v>72</v>
      </c>
      <c r="O139" s="11" t="str">
        <f>IF(OR(F139&lt;Thresholds!$B$6,H139&gt;=Thresholds!$B$7,K139&gt;=Thresholds!$B$9,L139&gt;Thresholds!$B$11,G139&gt;Thresholds!$B$10),"ISOLATE",IF(AND(F139&gt;=Thresholds!$B$5,K139&lt;=Thresholds!$B$8),"SAFE","DEGRADE/USE"))</f>
        <v>DEGRADE/USE</v>
      </c>
      <c r="P139" s="12">
        <f>Thresholds!$B$14*MIN(100-F139,40)/40+Thresholds!$B$15*MIN(H139,90)/90+Thresholds!$B$16*MIN(K139,100)/100+Thresholds!$B$17*MIN(I139,1600)/1600+Thresholds!$B$18*MIN(J139,5)/5+Thresholds!$B$19*MAX(0,G139-25)/25</f>
        <v>49.297222222222231</v>
      </c>
      <c r="Q139" s="11" t="str">
        <f>IF(P139&gt;Thresholds!$B$13,"High Risk",IF(P139&gt;Thresholds!$B$12,"Moderate Risk","Low Risk"))</f>
        <v>Moderate Risk</v>
      </c>
      <c r="R139" s="11" t="str">
        <f>TRIM(IF(F139&lt;Thresholds!$B$6,"Low SOH; ","")&amp;IF(H139&gt;=Thresholds!$B$7,"High IR; ","")&amp;IF(K139&gt;=Thresholds!$B$9,"High Imbalance; ","")&amp;IF(L139&gt;Thresholds!$B$11,"Sustained Heat 24h; ","")&amp;IF(G139&gt;Thresholds!$B$10,"High Temp; ",""))</f>
        <v/>
      </c>
    </row>
    <row r="140" spans="1:18" x14ac:dyDescent="0.3">
      <c r="A140" s="10" t="s">
        <v>211</v>
      </c>
      <c r="B140" s="10" t="s">
        <v>71</v>
      </c>
      <c r="C140" s="10">
        <v>48</v>
      </c>
      <c r="D140" s="10">
        <v>40</v>
      </c>
      <c r="E140" s="10">
        <v>71.2</v>
      </c>
      <c r="F140" s="10">
        <v>68.900000000000006</v>
      </c>
      <c r="G140" s="10">
        <v>28.5</v>
      </c>
      <c r="H140" s="10">
        <v>72.599999999999994</v>
      </c>
      <c r="I140" s="10">
        <v>1419</v>
      </c>
      <c r="J140" s="10">
        <v>2.42</v>
      </c>
      <c r="K140" s="10">
        <v>70</v>
      </c>
      <c r="L140" s="10">
        <v>30.9</v>
      </c>
      <c r="M140" s="10">
        <v>0.94199999999999995</v>
      </c>
      <c r="N140" s="10" t="s">
        <v>72</v>
      </c>
      <c r="O140" s="11" t="str">
        <f>IF(OR(F140&lt;Thresholds!$B$6,H140&gt;=Thresholds!$B$7,K140&gt;=Thresholds!$B$9,L140&gt;Thresholds!$B$11,G140&gt;Thresholds!$B$10),"ISOLATE",IF(AND(F140&gt;=Thresholds!$B$5,K140&lt;=Thresholds!$B$8),"SAFE","DEGRADE/USE"))</f>
        <v>DEGRADE/USE</v>
      </c>
      <c r="P140" s="12">
        <f>Thresholds!$B$14*MIN(100-F140,40)/40+Thresholds!$B$15*MIN(H140,90)/90+Thresholds!$B$16*MIN(K140,100)/100+Thresholds!$B$17*MIN(I140,1600)/1600+Thresholds!$B$18*MIN(J140,5)/5+Thresholds!$B$19*MAX(0,G140-25)/25</f>
        <v>73.367916666666673</v>
      </c>
      <c r="Q140" s="11" t="str">
        <f>IF(P140&gt;Thresholds!$B$13,"High Risk",IF(P140&gt;Thresholds!$B$12,"Moderate Risk","Low Risk"))</f>
        <v>High Risk</v>
      </c>
      <c r="R140" s="11" t="str">
        <f>TRIM(IF(F140&lt;Thresholds!$B$6,"Low SOH; ","")&amp;IF(H140&gt;=Thresholds!$B$7,"High IR; ","")&amp;IF(K140&gt;=Thresholds!$B$9,"High Imbalance; ","")&amp;IF(L140&gt;Thresholds!$B$11,"Sustained Heat 24h; ","")&amp;IF(G140&gt;Thresholds!$B$10,"High Temp; ",""))</f>
        <v/>
      </c>
    </row>
    <row r="141" spans="1:18" x14ac:dyDescent="0.3">
      <c r="A141" s="10" t="s">
        <v>212</v>
      </c>
      <c r="B141" s="10" t="s">
        <v>71</v>
      </c>
      <c r="C141" s="10">
        <v>48</v>
      </c>
      <c r="D141" s="10">
        <v>40</v>
      </c>
      <c r="E141" s="10">
        <v>79.3</v>
      </c>
      <c r="F141" s="10">
        <v>80.099999999999994</v>
      </c>
      <c r="G141" s="10">
        <v>29.8</v>
      </c>
      <c r="H141" s="10">
        <v>63.6</v>
      </c>
      <c r="I141" s="10">
        <v>978</v>
      </c>
      <c r="J141" s="10">
        <v>1.42</v>
      </c>
      <c r="K141" s="10">
        <v>40.6</v>
      </c>
      <c r="L141" s="10">
        <v>37</v>
      </c>
      <c r="M141" s="10">
        <v>1.2190000000000001</v>
      </c>
      <c r="N141" s="10" t="s">
        <v>72</v>
      </c>
      <c r="O141" s="11" t="str">
        <f>IF(OR(F141&lt;Thresholds!$B$6,H141&gt;=Thresholds!$B$7,K141&gt;=Thresholds!$B$9,L141&gt;Thresholds!$B$11,G141&gt;Thresholds!$B$10),"ISOLATE",IF(AND(F141&gt;=Thresholds!$B$5,K141&lt;=Thresholds!$B$8),"SAFE","DEGRADE/USE"))</f>
        <v>SAFE</v>
      </c>
      <c r="P141" s="12">
        <f>Thresholds!$B$14*MIN(100-F141,40)/40+Thresholds!$B$15*MIN(H141,90)/90+Thresholds!$B$16*MIN(K141,100)/100+Thresholds!$B$17*MIN(I141,1600)/1600+Thresholds!$B$18*MIN(J141,5)/5+Thresholds!$B$19*MAX(0,G141-25)/25</f>
        <v>51.69166666666667</v>
      </c>
      <c r="Q141" s="11" t="str">
        <f>IF(P141&gt;Thresholds!$B$13,"High Risk",IF(P141&gt;Thresholds!$B$12,"Moderate Risk","Low Risk"))</f>
        <v>Moderate Risk</v>
      </c>
      <c r="R141" s="11" t="str">
        <f>TRIM(IF(F141&lt;Thresholds!$B$6,"Low SOH; ","")&amp;IF(H141&gt;=Thresholds!$B$7,"High IR; ","")&amp;IF(K141&gt;=Thresholds!$B$9,"High Imbalance; ","")&amp;IF(L141&gt;Thresholds!$B$11,"Sustained Heat 24h; ","")&amp;IF(G141&gt;Thresholds!$B$10,"High Temp; ",""))</f>
        <v/>
      </c>
    </row>
    <row r="142" spans="1:18" x14ac:dyDescent="0.3">
      <c r="A142" s="10" t="s">
        <v>213</v>
      </c>
      <c r="B142" s="10" t="s">
        <v>71</v>
      </c>
      <c r="C142" s="10">
        <v>48</v>
      </c>
      <c r="D142" s="10">
        <v>40</v>
      </c>
      <c r="E142" s="10">
        <v>48.1</v>
      </c>
      <c r="F142" s="10">
        <v>65.599999999999994</v>
      </c>
      <c r="G142" s="10">
        <v>38</v>
      </c>
      <c r="H142" s="10">
        <v>77.8</v>
      </c>
      <c r="I142" s="10">
        <v>1300</v>
      </c>
      <c r="J142" s="10">
        <v>4.96</v>
      </c>
      <c r="K142" s="10">
        <v>76</v>
      </c>
      <c r="L142" s="10">
        <v>38.4</v>
      </c>
      <c r="M142" s="10">
        <v>0.60499999999999998</v>
      </c>
      <c r="N142" s="10" t="s">
        <v>72</v>
      </c>
      <c r="O142" s="11" t="str">
        <f>IF(OR(F142&lt;Thresholds!$B$6,H142&gt;=Thresholds!$B$7,K142&gt;=Thresholds!$B$9,L142&gt;Thresholds!$B$11,G142&gt;Thresholds!$B$10),"ISOLATE",IF(AND(F142&gt;=Thresholds!$B$5,K142&lt;=Thresholds!$B$8),"SAFE","DEGRADE/USE"))</f>
        <v>DEGRADE/USE</v>
      </c>
      <c r="P142" s="12">
        <f>Thresholds!$B$14*MIN(100-F142,40)/40+Thresholds!$B$15*MIN(H142,90)/90+Thresholds!$B$16*MIN(K142,100)/100+Thresholds!$B$17*MIN(I142,1600)/1600+Thresholds!$B$18*MIN(J142,5)/5+Thresholds!$B$19*MAX(0,G142-25)/25</f>
        <v>82.596111111111099</v>
      </c>
      <c r="Q142" s="11" t="str">
        <f>IF(P142&gt;Thresholds!$B$13,"High Risk",IF(P142&gt;Thresholds!$B$12,"Moderate Risk","Low Risk"))</f>
        <v>High Risk</v>
      </c>
      <c r="R142" s="11" t="str">
        <f>TRIM(IF(F142&lt;Thresholds!$B$6,"Low SOH; ","")&amp;IF(H142&gt;=Thresholds!$B$7,"High IR; ","")&amp;IF(K142&gt;=Thresholds!$B$9,"High Imbalance; ","")&amp;IF(L142&gt;Thresholds!$B$11,"Sustained Heat 24h; ","")&amp;IF(G142&gt;Thresholds!$B$10,"High Temp; ",""))</f>
        <v/>
      </c>
    </row>
    <row r="143" spans="1:18" x14ac:dyDescent="0.3">
      <c r="A143" s="10" t="s">
        <v>214</v>
      </c>
      <c r="B143" s="10" t="s">
        <v>71</v>
      </c>
      <c r="C143" s="10">
        <v>48</v>
      </c>
      <c r="D143" s="10">
        <v>40</v>
      </c>
      <c r="E143" s="10">
        <v>59.2</v>
      </c>
      <c r="F143" s="10">
        <v>92.4</v>
      </c>
      <c r="G143" s="10">
        <v>30</v>
      </c>
      <c r="H143" s="10">
        <v>52.6</v>
      </c>
      <c r="I143" s="10">
        <v>224</v>
      </c>
      <c r="J143" s="10">
        <v>2.3199999999999998</v>
      </c>
      <c r="K143" s="10">
        <v>13</v>
      </c>
      <c r="L143" s="10">
        <v>35.6</v>
      </c>
      <c r="M143" s="10">
        <v>1.05</v>
      </c>
      <c r="N143" s="10" t="s">
        <v>72</v>
      </c>
      <c r="O143" s="11" t="str">
        <f>IF(OR(F143&lt;Thresholds!$B$6,H143&gt;=Thresholds!$B$7,K143&gt;=Thresholds!$B$9,L143&gt;Thresholds!$B$11,G143&gt;Thresholds!$B$10),"ISOLATE",IF(AND(F143&gt;=Thresholds!$B$5,K143&lt;=Thresholds!$B$8),"SAFE","DEGRADE/USE"))</f>
        <v>SAFE</v>
      </c>
      <c r="P143" s="12">
        <f>Thresholds!$B$14*MIN(100-F143,40)/40+Thresholds!$B$15*MIN(H143,90)/90+Thresholds!$B$16*MIN(K143,100)/100+Thresholds!$B$17*MIN(I143,1600)/1600+Thresholds!$B$18*MIN(J143,5)/5+Thresholds!$B$19*MAX(0,G143-25)/25</f>
        <v>28.581111111111106</v>
      </c>
      <c r="Q143" s="11" t="str">
        <f>IF(P143&gt;Thresholds!$B$13,"High Risk",IF(P143&gt;Thresholds!$B$12,"Moderate Risk","Low Risk"))</f>
        <v>Low Risk</v>
      </c>
      <c r="R143" s="11" t="str">
        <f>TRIM(IF(F143&lt;Thresholds!$B$6,"Low SOH; ","")&amp;IF(H143&gt;=Thresholds!$B$7,"High IR; ","")&amp;IF(K143&gt;=Thresholds!$B$9,"High Imbalance; ","")&amp;IF(L143&gt;Thresholds!$B$11,"Sustained Heat 24h; ","")&amp;IF(G143&gt;Thresholds!$B$10,"High Temp; ",""))</f>
        <v/>
      </c>
    </row>
    <row r="144" spans="1:18" x14ac:dyDescent="0.3">
      <c r="A144" s="10" t="s">
        <v>215</v>
      </c>
      <c r="B144" s="10" t="s">
        <v>71</v>
      </c>
      <c r="C144" s="10">
        <v>48</v>
      </c>
      <c r="D144" s="10">
        <v>40</v>
      </c>
      <c r="E144" s="10">
        <v>77.2</v>
      </c>
      <c r="F144" s="10">
        <v>90.5</v>
      </c>
      <c r="G144" s="10">
        <v>30.7</v>
      </c>
      <c r="H144" s="10">
        <v>51</v>
      </c>
      <c r="I144" s="10">
        <v>656</v>
      </c>
      <c r="J144" s="10">
        <v>1.44</v>
      </c>
      <c r="K144" s="10">
        <v>34.200000000000003</v>
      </c>
      <c r="L144" s="10">
        <v>36.9</v>
      </c>
      <c r="M144" s="10">
        <v>1.341</v>
      </c>
      <c r="N144" s="10" t="s">
        <v>72</v>
      </c>
      <c r="O144" s="11" t="str">
        <f>IF(OR(F144&lt;Thresholds!$B$6,H144&gt;=Thresholds!$B$7,K144&gt;=Thresholds!$B$9,L144&gt;Thresholds!$B$11,G144&gt;Thresholds!$B$10),"ISOLATE",IF(AND(F144&gt;=Thresholds!$B$5,K144&lt;=Thresholds!$B$8),"SAFE","DEGRADE/USE"))</f>
        <v>SAFE</v>
      </c>
      <c r="P144" s="12">
        <f>Thresholds!$B$14*MIN(100-F144,40)/40+Thresholds!$B$15*MIN(H144,90)/90+Thresholds!$B$16*MIN(K144,100)/100+Thresholds!$B$17*MIN(I144,1600)/1600+Thresholds!$B$18*MIN(J144,5)/5+Thresholds!$B$19*MAX(0,G144-25)/25</f>
        <v>35.99916666666666</v>
      </c>
      <c r="Q144" s="11" t="str">
        <f>IF(P144&gt;Thresholds!$B$13,"High Risk",IF(P144&gt;Thresholds!$B$12,"Moderate Risk","Low Risk"))</f>
        <v>Moderate Risk</v>
      </c>
      <c r="R144" s="11" t="str">
        <f>TRIM(IF(F144&lt;Thresholds!$B$6,"Low SOH; ","")&amp;IF(H144&gt;=Thresholds!$B$7,"High IR; ","")&amp;IF(K144&gt;=Thresholds!$B$9,"High Imbalance; ","")&amp;IF(L144&gt;Thresholds!$B$11,"Sustained Heat 24h; ","")&amp;IF(G144&gt;Thresholds!$B$10,"High Temp; ",""))</f>
        <v/>
      </c>
    </row>
    <row r="145" spans="1:18" x14ac:dyDescent="0.3">
      <c r="A145" s="10" t="s">
        <v>216</v>
      </c>
      <c r="B145" s="10" t="s">
        <v>71</v>
      </c>
      <c r="C145" s="10">
        <v>48</v>
      </c>
      <c r="D145" s="10">
        <v>40</v>
      </c>
      <c r="E145" s="10">
        <v>62</v>
      </c>
      <c r="F145" s="10">
        <v>97</v>
      </c>
      <c r="G145" s="10">
        <v>28</v>
      </c>
      <c r="H145" s="10">
        <v>39</v>
      </c>
      <c r="I145" s="10">
        <v>531</v>
      </c>
      <c r="J145" s="10">
        <v>0.44</v>
      </c>
      <c r="K145" s="10">
        <v>14</v>
      </c>
      <c r="L145" s="10">
        <v>21.1</v>
      </c>
      <c r="M145" s="10">
        <v>1.597</v>
      </c>
      <c r="N145" s="10" t="s">
        <v>72</v>
      </c>
      <c r="O145" s="11" t="str">
        <f>IF(OR(F145&lt;Thresholds!$B$6,H145&gt;=Thresholds!$B$7,K145&gt;=Thresholds!$B$9,L145&gt;Thresholds!$B$11,G145&gt;Thresholds!$B$10),"ISOLATE",IF(AND(F145&gt;=Thresholds!$B$5,K145&lt;=Thresholds!$B$8),"SAFE","DEGRADE/USE"))</f>
        <v>SAFE</v>
      </c>
      <c r="P145" s="12">
        <f>Thresholds!$B$14*MIN(100-F145,40)/40+Thresholds!$B$15*MIN(H145,90)/90+Thresholds!$B$16*MIN(K145,100)/100+Thresholds!$B$17*MIN(I145,1600)/1600+Thresholds!$B$18*MIN(J145,5)/5+Thresholds!$B$19*MAX(0,G145-25)/25</f>
        <v>20.617083333333337</v>
      </c>
      <c r="Q145" s="11" t="str">
        <f>IF(P145&gt;Thresholds!$B$13,"High Risk",IF(P145&gt;Thresholds!$B$12,"Moderate Risk","Low Risk"))</f>
        <v>Low Risk</v>
      </c>
      <c r="R145" s="11" t="str">
        <f>TRIM(IF(F145&lt;Thresholds!$B$6,"Low SOH; ","")&amp;IF(H145&gt;=Thresholds!$B$7,"High IR; ","")&amp;IF(K145&gt;=Thresholds!$B$9,"High Imbalance; ","")&amp;IF(L145&gt;Thresholds!$B$11,"Sustained Heat 24h; ","")&amp;IF(G145&gt;Thresholds!$B$10,"High Temp; ",""))</f>
        <v/>
      </c>
    </row>
    <row r="146" spans="1:18" x14ac:dyDescent="0.3">
      <c r="A146" s="10" t="s">
        <v>217</v>
      </c>
      <c r="B146" s="10" t="s">
        <v>71</v>
      </c>
      <c r="C146" s="10">
        <v>48</v>
      </c>
      <c r="D146" s="10">
        <v>40</v>
      </c>
      <c r="E146" s="10">
        <v>42.1</v>
      </c>
      <c r="F146" s="10">
        <v>84.1</v>
      </c>
      <c r="G146" s="10">
        <v>34.6</v>
      </c>
      <c r="H146" s="10">
        <v>57.9</v>
      </c>
      <c r="I146" s="10">
        <v>687</v>
      </c>
      <c r="J146" s="10">
        <v>4.08</v>
      </c>
      <c r="K146" s="10">
        <v>45.1</v>
      </c>
      <c r="L146" s="10">
        <v>37.9</v>
      </c>
      <c r="M146" s="10">
        <v>0.68</v>
      </c>
      <c r="N146" s="10" t="s">
        <v>72</v>
      </c>
      <c r="O146" s="11" t="str">
        <f>IF(OR(F146&lt;Thresholds!$B$6,H146&gt;=Thresholds!$B$7,K146&gt;=Thresholds!$B$9,L146&gt;Thresholds!$B$11,G146&gt;Thresholds!$B$10),"ISOLATE",IF(AND(F146&gt;=Thresholds!$B$5,K146&lt;=Thresholds!$B$8),"SAFE","DEGRADE/USE"))</f>
        <v>SAFE</v>
      </c>
      <c r="P146" s="12">
        <f>Thresholds!$B$14*MIN(100-F146,40)/40+Thresholds!$B$15*MIN(H146,90)/90+Thresholds!$B$16*MIN(K146,100)/100+Thresholds!$B$17*MIN(I146,1600)/1600+Thresholds!$B$18*MIN(J146,5)/5+Thresholds!$B$19*MAX(0,G146-25)/25</f>
        <v>49.309583333333336</v>
      </c>
      <c r="Q146" s="11" t="str">
        <f>IF(P146&gt;Thresholds!$B$13,"High Risk",IF(P146&gt;Thresholds!$B$12,"Moderate Risk","Low Risk"))</f>
        <v>Moderate Risk</v>
      </c>
      <c r="R146" s="11" t="str">
        <f>TRIM(IF(F146&lt;Thresholds!$B$6,"Low SOH; ","")&amp;IF(H146&gt;=Thresholds!$B$7,"High IR; ","")&amp;IF(K146&gt;=Thresholds!$B$9,"High Imbalance; ","")&amp;IF(L146&gt;Thresholds!$B$11,"Sustained Heat 24h; ","")&amp;IF(G146&gt;Thresholds!$B$10,"High Temp; ",""))</f>
        <v/>
      </c>
    </row>
    <row r="147" spans="1:18" x14ac:dyDescent="0.3">
      <c r="A147" s="10" t="s">
        <v>218</v>
      </c>
      <c r="B147" s="10" t="s">
        <v>71</v>
      </c>
      <c r="C147" s="10">
        <v>48</v>
      </c>
      <c r="D147" s="10">
        <v>40</v>
      </c>
      <c r="E147" s="10">
        <v>80.5</v>
      </c>
      <c r="F147" s="10">
        <v>89.9</v>
      </c>
      <c r="G147" s="10">
        <v>37.299999999999997</v>
      </c>
      <c r="H147" s="10">
        <v>48.5</v>
      </c>
      <c r="I147" s="10">
        <v>467</v>
      </c>
      <c r="J147" s="10">
        <v>2.34</v>
      </c>
      <c r="K147" s="10">
        <v>35.200000000000003</v>
      </c>
      <c r="L147" s="10">
        <v>41.6</v>
      </c>
      <c r="M147" s="10">
        <v>1.389</v>
      </c>
      <c r="N147" s="10" t="s">
        <v>72</v>
      </c>
      <c r="O147" s="11" t="str">
        <f>IF(OR(F147&lt;Thresholds!$B$6,H147&gt;=Thresholds!$B$7,K147&gt;=Thresholds!$B$9,L147&gt;Thresholds!$B$11,G147&gt;Thresholds!$B$10),"ISOLATE",IF(AND(F147&gt;=Thresholds!$B$5,K147&lt;=Thresholds!$B$8),"SAFE","DEGRADE/USE"))</f>
        <v>SAFE</v>
      </c>
      <c r="P147" s="12">
        <f>Thresholds!$B$14*MIN(100-F147,40)/40+Thresholds!$B$15*MIN(H147,90)/90+Thresholds!$B$16*MIN(K147,100)/100+Thresholds!$B$17*MIN(I147,1600)/1600+Thresholds!$B$18*MIN(J147,5)/5+Thresholds!$B$19*MAX(0,G147-25)/25</f>
        <v>37.068472222222219</v>
      </c>
      <c r="Q147" s="11" t="str">
        <f>IF(P147&gt;Thresholds!$B$13,"High Risk",IF(P147&gt;Thresholds!$B$12,"Moderate Risk","Low Risk"))</f>
        <v>Moderate Risk</v>
      </c>
      <c r="R147" s="11" t="str">
        <f>TRIM(IF(F147&lt;Thresholds!$B$6,"Low SOH; ","")&amp;IF(H147&gt;=Thresholds!$B$7,"High IR; ","")&amp;IF(K147&gt;=Thresholds!$B$9,"High Imbalance; ","")&amp;IF(L147&gt;Thresholds!$B$11,"Sustained Heat 24h; ","")&amp;IF(G147&gt;Thresholds!$B$10,"High Temp; ",""))</f>
        <v/>
      </c>
    </row>
    <row r="148" spans="1:18" x14ac:dyDescent="0.3">
      <c r="A148" s="10" t="s">
        <v>219</v>
      </c>
      <c r="B148" s="10" t="s">
        <v>71</v>
      </c>
      <c r="C148" s="10">
        <v>48</v>
      </c>
      <c r="D148" s="10">
        <v>40</v>
      </c>
      <c r="E148" s="10">
        <v>88.2</v>
      </c>
      <c r="F148" s="10">
        <v>86.5</v>
      </c>
      <c r="G148" s="10">
        <v>27.7</v>
      </c>
      <c r="H148" s="10">
        <v>49.5</v>
      </c>
      <c r="I148" s="10">
        <v>647</v>
      </c>
      <c r="J148" s="10">
        <v>1.32</v>
      </c>
      <c r="K148" s="10">
        <v>18.2</v>
      </c>
      <c r="L148" s="10">
        <v>28.2</v>
      </c>
      <c r="M148" s="10">
        <v>1.4650000000000001</v>
      </c>
      <c r="N148" s="10" t="s">
        <v>72</v>
      </c>
      <c r="O148" s="11" t="str">
        <f>IF(OR(F148&lt;Thresholds!$B$6,H148&gt;=Thresholds!$B$7,K148&gt;=Thresholds!$B$9,L148&gt;Thresholds!$B$11,G148&gt;Thresholds!$B$10),"ISOLATE",IF(AND(F148&gt;=Thresholds!$B$5,K148&lt;=Thresholds!$B$8),"SAFE","DEGRADE/USE"))</f>
        <v>SAFE</v>
      </c>
      <c r="P148" s="12">
        <f>Thresholds!$B$14*MIN(100-F148,40)/40+Thresholds!$B$15*MIN(H148,90)/90+Thresholds!$B$16*MIN(K148,100)/100+Thresholds!$B$17*MIN(I148,1600)/1600+Thresholds!$B$18*MIN(J148,5)/5+Thresholds!$B$19*MAX(0,G148-25)/25</f>
        <v>35.106250000000003</v>
      </c>
      <c r="Q148" s="11" t="str">
        <f>IF(P148&gt;Thresholds!$B$13,"High Risk",IF(P148&gt;Thresholds!$B$12,"Moderate Risk","Low Risk"))</f>
        <v>Moderate Risk</v>
      </c>
      <c r="R148" s="11" t="str">
        <f>TRIM(IF(F148&lt;Thresholds!$B$6,"Low SOH; ","")&amp;IF(H148&gt;=Thresholds!$B$7,"High IR; ","")&amp;IF(K148&gt;=Thresholds!$B$9,"High Imbalance; ","")&amp;IF(L148&gt;Thresholds!$B$11,"Sustained Heat 24h; ","")&amp;IF(G148&gt;Thresholds!$B$10,"High Temp; ",""))</f>
        <v/>
      </c>
    </row>
    <row r="149" spans="1:18" x14ac:dyDescent="0.3">
      <c r="A149" s="10" t="s">
        <v>220</v>
      </c>
      <c r="B149" s="10" t="s">
        <v>71</v>
      </c>
      <c r="C149" s="10">
        <v>48</v>
      </c>
      <c r="D149" s="10">
        <v>40</v>
      </c>
      <c r="E149" s="10">
        <v>72.7</v>
      </c>
      <c r="F149" s="10">
        <v>81.8</v>
      </c>
      <c r="G149" s="10">
        <v>33.5</v>
      </c>
      <c r="H149" s="10">
        <v>56.7</v>
      </c>
      <c r="I149" s="10">
        <v>992</v>
      </c>
      <c r="J149" s="10">
        <v>1.31</v>
      </c>
      <c r="K149" s="10">
        <v>41.7</v>
      </c>
      <c r="L149" s="10">
        <v>40.5</v>
      </c>
      <c r="M149" s="10">
        <v>1.1419999999999999</v>
      </c>
      <c r="N149" s="10" t="s">
        <v>72</v>
      </c>
      <c r="O149" s="11" t="str">
        <f>IF(OR(F149&lt;Thresholds!$B$6,H149&gt;=Thresholds!$B$7,K149&gt;=Thresholds!$B$9,L149&gt;Thresholds!$B$11,G149&gt;Thresholds!$B$10),"ISOLATE",IF(AND(F149&gt;=Thresholds!$B$5,K149&lt;=Thresholds!$B$8),"SAFE","DEGRADE/USE"))</f>
        <v>SAFE</v>
      </c>
      <c r="P149" s="12">
        <f>Thresholds!$B$14*MIN(100-F149,40)/40+Thresholds!$B$15*MIN(H149,90)/90+Thresholds!$B$16*MIN(K149,100)/100+Thresholds!$B$17*MIN(I149,1600)/1600+Thresholds!$B$18*MIN(J149,5)/5+Thresholds!$B$19*MAX(0,G149-25)/25</f>
        <v>49.225000000000009</v>
      </c>
      <c r="Q149" s="11" t="str">
        <f>IF(P149&gt;Thresholds!$B$13,"High Risk",IF(P149&gt;Thresholds!$B$12,"Moderate Risk","Low Risk"))</f>
        <v>Moderate Risk</v>
      </c>
      <c r="R149" s="11" t="str">
        <f>TRIM(IF(F149&lt;Thresholds!$B$6,"Low SOH; ","")&amp;IF(H149&gt;=Thresholds!$B$7,"High IR; ","")&amp;IF(K149&gt;=Thresholds!$B$9,"High Imbalance; ","")&amp;IF(L149&gt;Thresholds!$B$11,"Sustained Heat 24h; ","")&amp;IF(G149&gt;Thresholds!$B$10,"High Temp; ",""))</f>
        <v/>
      </c>
    </row>
    <row r="150" spans="1:18" x14ac:dyDescent="0.3">
      <c r="A150" s="10" t="s">
        <v>221</v>
      </c>
      <c r="B150" s="10" t="s">
        <v>71</v>
      </c>
      <c r="C150" s="10">
        <v>48</v>
      </c>
      <c r="D150" s="10">
        <v>40</v>
      </c>
      <c r="E150" s="10">
        <v>75.599999999999994</v>
      </c>
      <c r="F150" s="10">
        <v>83.4</v>
      </c>
      <c r="G150" s="10">
        <v>25.6</v>
      </c>
      <c r="H150" s="10">
        <v>61.5</v>
      </c>
      <c r="I150" s="10">
        <v>771</v>
      </c>
      <c r="J150" s="10">
        <v>3.65</v>
      </c>
      <c r="K150" s="10">
        <v>30</v>
      </c>
      <c r="L150" s="10">
        <v>26.8</v>
      </c>
      <c r="M150" s="10">
        <v>1.21</v>
      </c>
      <c r="N150" s="10" t="s">
        <v>72</v>
      </c>
      <c r="O150" s="11" t="str">
        <f>IF(OR(F150&lt;Thresholds!$B$6,H150&gt;=Thresholds!$B$7,K150&gt;=Thresholds!$B$9,L150&gt;Thresholds!$B$11,G150&gt;Thresholds!$B$10),"ISOLATE",IF(AND(F150&gt;=Thresholds!$B$5,K150&lt;=Thresholds!$B$8),"SAFE","DEGRADE/USE"))</f>
        <v>SAFE</v>
      </c>
      <c r="P150" s="12">
        <f>Thresholds!$B$14*MIN(100-F150,40)/40+Thresholds!$B$15*MIN(H150,90)/90+Thresholds!$B$16*MIN(K150,100)/100+Thresholds!$B$17*MIN(I150,1600)/1600+Thresholds!$B$18*MIN(J150,5)/5+Thresholds!$B$19*MAX(0,G150-25)/25</f>
        <v>46.197083333333325</v>
      </c>
      <c r="Q150" s="11" t="str">
        <f>IF(P150&gt;Thresholds!$B$13,"High Risk",IF(P150&gt;Thresholds!$B$12,"Moderate Risk","Low Risk"))</f>
        <v>Moderate Risk</v>
      </c>
      <c r="R150" s="11" t="str">
        <f>TRIM(IF(F150&lt;Thresholds!$B$6,"Low SOH; ","")&amp;IF(H150&gt;=Thresholds!$B$7,"High IR; ","")&amp;IF(K150&gt;=Thresholds!$B$9,"High Imbalance; ","")&amp;IF(L150&gt;Thresholds!$B$11,"Sustained Heat 24h; ","")&amp;IF(G150&gt;Thresholds!$B$10,"High Temp; ",""))</f>
        <v/>
      </c>
    </row>
    <row r="151" spans="1:18" x14ac:dyDescent="0.3">
      <c r="A151" s="10" t="s">
        <v>222</v>
      </c>
      <c r="B151" s="10" t="s">
        <v>71</v>
      </c>
      <c r="C151" s="10">
        <v>48</v>
      </c>
      <c r="D151" s="10">
        <v>40</v>
      </c>
      <c r="E151" s="10">
        <v>66.099999999999994</v>
      </c>
      <c r="F151" s="10">
        <v>84.8</v>
      </c>
      <c r="G151" s="10">
        <v>32.700000000000003</v>
      </c>
      <c r="H151" s="10">
        <v>53.7</v>
      </c>
      <c r="I151" s="10">
        <v>390</v>
      </c>
      <c r="J151" s="10">
        <v>2.91</v>
      </c>
      <c r="K151" s="10">
        <v>55.1</v>
      </c>
      <c r="L151" s="10">
        <v>38.799999999999997</v>
      </c>
      <c r="M151" s="10">
        <v>1.077</v>
      </c>
      <c r="N151" s="10" t="s">
        <v>72</v>
      </c>
      <c r="O151" s="11" t="str">
        <f>IF(OR(F151&lt;Thresholds!$B$6,H151&gt;=Thresholds!$B$7,K151&gt;=Thresholds!$B$9,L151&gt;Thresholds!$B$11,G151&gt;Thresholds!$B$10),"ISOLATE",IF(AND(F151&gt;=Thresholds!$B$5,K151&lt;=Thresholds!$B$8),"SAFE","DEGRADE/USE"))</f>
        <v>DEGRADE/USE</v>
      </c>
      <c r="P151" s="12">
        <f>Thresholds!$B$14*MIN(100-F151,40)/40+Thresholds!$B$15*MIN(H151,90)/90+Thresholds!$B$16*MIN(K151,100)/100+Thresholds!$B$17*MIN(I151,1600)/1600+Thresholds!$B$18*MIN(J151,5)/5+Thresholds!$B$19*MAX(0,G151-25)/25</f>
        <v>46.12416666666666</v>
      </c>
      <c r="Q151" s="11" t="str">
        <f>IF(P151&gt;Thresholds!$B$13,"High Risk",IF(P151&gt;Thresholds!$B$12,"Moderate Risk","Low Risk"))</f>
        <v>Moderate Risk</v>
      </c>
      <c r="R151" s="11" t="str">
        <f>TRIM(IF(F151&lt;Thresholds!$B$6,"Low SOH; ","")&amp;IF(H151&gt;=Thresholds!$B$7,"High IR; ","")&amp;IF(K151&gt;=Thresholds!$B$9,"High Imbalance; ","")&amp;IF(L151&gt;Thresholds!$B$11,"Sustained Heat 24h; ","")&amp;IF(G151&gt;Thresholds!$B$10,"High Temp; ",""))</f>
        <v/>
      </c>
    </row>
    <row r="152" spans="1:18" x14ac:dyDescent="0.3">
      <c r="A152" s="10" t="s">
        <v>223</v>
      </c>
      <c r="B152" s="10" t="s">
        <v>71</v>
      </c>
      <c r="C152" s="10">
        <v>48</v>
      </c>
      <c r="D152" s="10">
        <v>40</v>
      </c>
      <c r="E152" s="10">
        <v>73.2</v>
      </c>
      <c r="F152" s="10">
        <v>90.2</v>
      </c>
      <c r="G152" s="10">
        <v>32.9</v>
      </c>
      <c r="H152" s="10">
        <v>50.4</v>
      </c>
      <c r="I152" s="10">
        <v>427</v>
      </c>
      <c r="J152" s="10">
        <v>2.2599999999999998</v>
      </c>
      <c r="K152" s="10">
        <v>29</v>
      </c>
      <c r="L152" s="10">
        <v>39.6</v>
      </c>
      <c r="M152" s="10">
        <v>1.268</v>
      </c>
      <c r="N152" s="10" t="s">
        <v>72</v>
      </c>
      <c r="O152" s="11" t="str">
        <f>IF(OR(F152&lt;Thresholds!$B$6,H152&gt;=Thresholds!$B$7,K152&gt;=Thresholds!$B$9,L152&gt;Thresholds!$B$11,G152&gt;Thresholds!$B$10),"ISOLATE",IF(AND(F152&gt;=Thresholds!$B$5,K152&lt;=Thresholds!$B$8),"SAFE","DEGRADE/USE"))</f>
        <v>SAFE</v>
      </c>
      <c r="P152" s="12">
        <f>Thresholds!$B$14*MIN(100-F152,40)/40+Thresholds!$B$15*MIN(H152,90)/90+Thresholds!$B$16*MIN(K152,100)/100+Thresholds!$B$17*MIN(I152,1600)/1600+Thresholds!$B$18*MIN(J152,5)/5+Thresholds!$B$19*MAX(0,G152-25)/25</f>
        <v>34.883749999999992</v>
      </c>
      <c r="Q152" s="11" t="str">
        <f>IF(P152&gt;Thresholds!$B$13,"High Risk",IF(P152&gt;Thresholds!$B$12,"Moderate Risk","Low Risk"))</f>
        <v>Low Risk</v>
      </c>
      <c r="R152" s="11" t="str">
        <f>TRIM(IF(F152&lt;Thresholds!$B$6,"Low SOH; ","")&amp;IF(H152&gt;=Thresholds!$B$7,"High IR; ","")&amp;IF(K152&gt;=Thresholds!$B$9,"High Imbalance; ","")&amp;IF(L152&gt;Thresholds!$B$11,"Sustained Heat 24h; ","")&amp;IF(G152&gt;Thresholds!$B$10,"High Temp; ",""))</f>
        <v/>
      </c>
    </row>
    <row r="153" spans="1:18" x14ac:dyDescent="0.3">
      <c r="A153" s="10" t="s">
        <v>224</v>
      </c>
      <c r="B153" s="10" t="s">
        <v>71</v>
      </c>
      <c r="C153" s="10">
        <v>48</v>
      </c>
      <c r="D153" s="10">
        <v>40</v>
      </c>
      <c r="E153" s="10">
        <v>66.7</v>
      </c>
      <c r="F153" s="10">
        <v>100</v>
      </c>
      <c r="G153" s="10">
        <v>19.899999999999999</v>
      </c>
      <c r="H153" s="10">
        <v>42.4</v>
      </c>
      <c r="I153" s="10">
        <v>113</v>
      </c>
      <c r="J153" s="10">
        <v>0.81</v>
      </c>
      <c r="K153" s="10">
        <v>9.4</v>
      </c>
      <c r="L153" s="10">
        <v>24.8</v>
      </c>
      <c r="M153" s="10">
        <v>1.2809999999999999</v>
      </c>
      <c r="N153" s="10" t="s">
        <v>72</v>
      </c>
      <c r="O153" s="11" t="str">
        <f>IF(OR(F153&lt;Thresholds!$B$6,H153&gt;=Thresholds!$B$7,K153&gt;=Thresholds!$B$9,L153&gt;Thresholds!$B$11,G153&gt;Thresholds!$B$10),"ISOLATE",IF(AND(F153&gt;=Thresholds!$B$5,K153&lt;=Thresholds!$B$8),"SAFE","DEGRADE/USE"))</f>
        <v>SAFE</v>
      </c>
      <c r="P153" s="12">
        <f>Thresholds!$B$14*MIN(100-F153,40)/40+Thresholds!$B$15*MIN(H153,90)/90+Thresholds!$B$16*MIN(K153,100)/100+Thresholds!$B$17*MIN(I153,1600)/1600+Thresholds!$B$18*MIN(J153,5)/5+Thresholds!$B$19*MAX(0,G153-25)/25</f>
        <v>15.174027777777779</v>
      </c>
      <c r="Q153" s="11" t="str">
        <f>IF(P153&gt;Thresholds!$B$13,"High Risk",IF(P153&gt;Thresholds!$B$12,"Moderate Risk","Low Risk"))</f>
        <v>Low Risk</v>
      </c>
      <c r="R153" s="11" t="str">
        <f>TRIM(IF(F153&lt;Thresholds!$B$6,"Low SOH; ","")&amp;IF(H153&gt;=Thresholds!$B$7,"High IR; ","")&amp;IF(K153&gt;=Thresholds!$B$9,"High Imbalance; ","")&amp;IF(L153&gt;Thresholds!$B$11,"Sustained Heat 24h; ","")&amp;IF(G153&gt;Thresholds!$B$10,"High Temp; ",""))</f>
        <v/>
      </c>
    </row>
    <row r="154" spans="1:18" x14ac:dyDescent="0.3">
      <c r="A154" s="10" t="s">
        <v>225</v>
      </c>
      <c r="B154" s="10" t="s">
        <v>71</v>
      </c>
      <c r="C154" s="10">
        <v>48</v>
      </c>
      <c r="D154" s="10">
        <v>40</v>
      </c>
      <c r="E154" s="10">
        <v>44.6</v>
      </c>
      <c r="F154" s="10">
        <v>95.9</v>
      </c>
      <c r="G154" s="10">
        <v>36.5</v>
      </c>
      <c r="H154" s="10">
        <v>49.4</v>
      </c>
      <c r="I154" s="10">
        <v>42</v>
      </c>
      <c r="J154" s="10">
        <v>0.66</v>
      </c>
      <c r="K154" s="10">
        <v>24.7</v>
      </c>
      <c r="L154" s="10">
        <v>44.5</v>
      </c>
      <c r="M154" s="10">
        <v>0.82199999999999995</v>
      </c>
      <c r="N154" s="10" t="s">
        <v>72</v>
      </c>
      <c r="O154" s="11" t="str">
        <f>IF(OR(F154&lt;Thresholds!$B$6,H154&gt;=Thresholds!$B$7,K154&gt;=Thresholds!$B$9,L154&gt;Thresholds!$B$11,G154&gt;Thresholds!$B$10),"ISOLATE",IF(AND(F154&gt;=Thresholds!$B$5,K154&lt;=Thresholds!$B$8),"SAFE","DEGRADE/USE"))</f>
        <v>SAFE</v>
      </c>
      <c r="P154" s="12">
        <f>Thresholds!$B$14*MIN(100-F154,40)/40+Thresholds!$B$15*MIN(H154,90)/90+Thresholds!$B$16*MIN(K154,100)/100+Thresholds!$B$17*MIN(I154,1600)/1600+Thresholds!$B$18*MIN(J154,5)/5+Thresholds!$B$19*MAX(0,G154-25)/25</f>
        <v>25.472222222222218</v>
      </c>
      <c r="Q154" s="11" t="str">
        <f>IF(P154&gt;Thresholds!$B$13,"High Risk",IF(P154&gt;Thresholds!$B$12,"Moderate Risk","Low Risk"))</f>
        <v>Low Risk</v>
      </c>
      <c r="R154" s="11" t="str">
        <f>TRIM(IF(F154&lt;Thresholds!$B$6,"Low SOH; ","")&amp;IF(H154&gt;=Thresholds!$B$7,"High IR; ","")&amp;IF(K154&gt;=Thresholds!$B$9,"High Imbalance; ","")&amp;IF(L154&gt;Thresholds!$B$11,"Sustained Heat 24h; ","")&amp;IF(G154&gt;Thresholds!$B$10,"High Temp; ",""))</f>
        <v/>
      </c>
    </row>
    <row r="155" spans="1:18" x14ac:dyDescent="0.3">
      <c r="A155" s="10" t="s">
        <v>226</v>
      </c>
      <c r="B155" s="10" t="s">
        <v>71</v>
      </c>
      <c r="C155" s="10">
        <v>48</v>
      </c>
      <c r="D155" s="10">
        <v>40</v>
      </c>
      <c r="E155" s="10">
        <v>100</v>
      </c>
      <c r="F155" s="10">
        <v>98.5</v>
      </c>
      <c r="G155" s="10">
        <v>37.6</v>
      </c>
      <c r="H155" s="10">
        <v>35.1</v>
      </c>
      <c r="I155" s="10">
        <v>103</v>
      </c>
      <c r="J155" s="10">
        <v>1.96</v>
      </c>
      <c r="K155" s="10">
        <v>24.9</v>
      </c>
      <c r="L155" s="10">
        <v>42.9</v>
      </c>
      <c r="M155" s="10">
        <v>1.8919999999999999</v>
      </c>
      <c r="N155" s="10" t="s">
        <v>72</v>
      </c>
      <c r="O155" s="11" t="str">
        <f>IF(OR(F155&lt;Thresholds!$B$6,H155&gt;=Thresholds!$B$7,K155&gt;=Thresholds!$B$9,L155&gt;Thresholds!$B$11,G155&gt;Thresholds!$B$10),"ISOLATE",IF(AND(F155&gt;=Thresholds!$B$5,K155&lt;=Thresholds!$B$8),"SAFE","DEGRADE/USE"))</f>
        <v>SAFE</v>
      </c>
      <c r="P155" s="12">
        <f>Thresholds!$B$14*MIN(100-F155,40)/40+Thresholds!$B$15*MIN(H155,90)/90+Thresholds!$B$16*MIN(K155,100)/100+Thresholds!$B$17*MIN(I155,1600)/1600+Thresholds!$B$18*MIN(J155,5)/5+Thresholds!$B$19*MAX(0,G155-25)/25</f>
        <v>21.166250000000002</v>
      </c>
      <c r="Q155" s="11" t="str">
        <f>IF(P155&gt;Thresholds!$B$13,"High Risk",IF(P155&gt;Thresholds!$B$12,"Moderate Risk","Low Risk"))</f>
        <v>Low Risk</v>
      </c>
      <c r="R155" s="11" t="str">
        <f>TRIM(IF(F155&lt;Thresholds!$B$6,"Low SOH; ","")&amp;IF(H155&gt;=Thresholds!$B$7,"High IR; ","")&amp;IF(K155&gt;=Thresholds!$B$9,"High Imbalance; ","")&amp;IF(L155&gt;Thresholds!$B$11,"Sustained Heat 24h; ","")&amp;IF(G155&gt;Thresholds!$B$10,"High Temp; ",""))</f>
        <v/>
      </c>
    </row>
    <row r="156" spans="1:18" x14ac:dyDescent="0.3">
      <c r="A156" s="10" t="s">
        <v>227</v>
      </c>
      <c r="B156" s="10" t="s">
        <v>71</v>
      </c>
      <c r="C156" s="10">
        <v>48</v>
      </c>
      <c r="D156" s="10">
        <v>40</v>
      </c>
      <c r="E156" s="10">
        <v>80.2</v>
      </c>
      <c r="F156" s="10">
        <v>92.5</v>
      </c>
      <c r="G156" s="10">
        <v>30.3</v>
      </c>
      <c r="H156" s="10">
        <v>45.8</v>
      </c>
      <c r="I156" s="10">
        <v>462</v>
      </c>
      <c r="J156" s="10">
        <v>0.69</v>
      </c>
      <c r="K156" s="10">
        <v>31.8</v>
      </c>
      <c r="L156" s="10">
        <v>37.700000000000003</v>
      </c>
      <c r="M156" s="10">
        <v>1.4259999999999999</v>
      </c>
      <c r="N156" s="10" t="s">
        <v>72</v>
      </c>
      <c r="O156" s="11" t="str">
        <f>IF(OR(F156&lt;Thresholds!$B$6,H156&gt;=Thresholds!$B$7,K156&gt;=Thresholds!$B$9,L156&gt;Thresholds!$B$11,G156&gt;Thresholds!$B$10),"ISOLATE",IF(AND(F156&gt;=Thresholds!$B$5,K156&lt;=Thresholds!$B$8),"SAFE","DEGRADE/USE"))</f>
        <v>SAFE</v>
      </c>
      <c r="P156" s="12">
        <f>Thresholds!$B$14*MIN(100-F156,40)/40+Thresholds!$B$15*MIN(H156,90)/90+Thresholds!$B$16*MIN(K156,100)/100+Thresholds!$B$17*MIN(I156,1600)/1600+Thresholds!$B$18*MIN(J156,5)/5+Thresholds!$B$19*MAX(0,G156-25)/25</f>
        <v>30.28222222222222</v>
      </c>
      <c r="Q156" s="11" t="str">
        <f>IF(P156&gt;Thresholds!$B$13,"High Risk",IF(P156&gt;Thresholds!$B$12,"Moderate Risk","Low Risk"))</f>
        <v>Low Risk</v>
      </c>
      <c r="R156" s="11" t="str">
        <f>TRIM(IF(F156&lt;Thresholds!$B$6,"Low SOH; ","")&amp;IF(H156&gt;=Thresholds!$B$7,"High IR; ","")&amp;IF(K156&gt;=Thresholds!$B$9,"High Imbalance; ","")&amp;IF(L156&gt;Thresholds!$B$11,"Sustained Heat 24h; ","")&amp;IF(G156&gt;Thresholds!$B$10,"High Temp; ",""))</f>
        <v/>
      </c>
    </row>
    <row r="157" spans="1:18" x14ac:dyDescent="0.3">
      <c r="A157" s="10" t="s">
        <v>228</v>
      </c>
      <c r="B157" s="10" t="s">
        <v>71</v>
      </c>
      <c r="C157" s="10">
        <v>48</v>
      </c>
      <c r="D157" s="10">
        <v>40</v>
      </c>
      <c r="E157" s="10">
        <v>63.8</v>
      </c>
      <c r="F157" s="10">
        <v>74.900000000000006</v>
      </c>
      <c r="G157" s="10">
        <v>25.6</v>
      </c>
      <c r="H157" s="10">
        <v>61.4</v>
      </c>
      <c r="I157" s="10">
        <v>1248</v>
      </c>
      <c r="J157" s="10">
        <v>0.23</v>
      </c>
      <c r="K157" s="10">
        <v>50.9</v>
      </c>
      <c r="L157" s="10">
        <v>31.6</v>
      </c>
      <c r="M157" s="10">
        <v>0.91700000000000004</v>
      </c>
      <c r="N157" s="10" t="s">
        <v>72</v>
      </c>
      <c r="O157" s="11" t="str">
        <f>IF(OR(F157&lt;Thresholds!$B$6,H157&gt;=Thresholds!$B$7,K157&gt;=Thresholds!$B$9,L157&gt;Thresholds!$B$11,G157&gt;Thresholds!$B$10),"ISOLATE",IF(AND(F157&gt;=Thresholds!$B$5,K157&lt;=Thresholds!$B$8),"SAFE","DEGRADE/USE"))</f>
        <v>DEGRADE/USE</v>
      </c>
      <c r="P157" s="12">
        <f>Thresholds!$B$14*MIN(100-F157,40)/40+Thresholds!$B$15*MIN(H157,90)/90+Thresholds!$B$16*MIN(K157,100)/100+Thresholds!$B$17*MIN(I157,1600)/1600+Thresholds!$B$18*MIN(J157,5)/5+Thresholds!$B$19*MAX(0,G157-25)/25</f>
        <v>57.34805555555554</v>
      </c>
      <c r="Q157" s="11" t="str">
        <f>IF(P157&gt;Thresholds!$B$13,"High Risk",IF(P157&gt;Thresholds!$B$12,"Moderate Risk","Low Risk"))</f>
        <v>Moderate Risk</v>
      </c>
      <c r="R157" s="11" t="str">
        <f>TRIM(IF(F157&lt;Thresholds!$B$6,"Low SOH; ","")&amp;IF(H157&gt;=Thresholds!$B$7,"High IR; ","")&amp;IF(K157&gt;=Thresholds!$B$9,"High Imbalance; ","")&amp;IF(L157&gt;Thresholds!$B$11,"Sustained Heat 24h; ","")&amp;IF(G157&gt;Thresholds!$B$10,"High Temp; ",""))</f>
        <v/>
      </c>
    </row>
    <row r="158" spans="1:18" x14ac:dyDescent="0.3">
      <c r="A158" s="10" t="s">
        <v>229</v>
      </c>
      <c r="B158" s="10" t="s">
        <v>71</v>
      </c>
      <c r="C158" s="10">
        <v>48</v>
      </c>
      <c r="D158" s="10">
        <v>40</v>
      </c>
      <c r="E158" s="10">
        <v>99.9</v>
      </c>
      <c r="F158" s="10">
        <v>65.8</v>
      </c>
      <c r="G158" s="10">
        <v>31</v>
      </c>
      <c r="H158" s="10">
        <v>78.599999999999994</v>
      </c>
      <c r="I158" s="10">
        <v>1544</v>
      </c>
      <c r="J158" s="10">
        <v>4.01</v>
      </c>
      <c r="K158" s="10">
        <v>77.400000000000006</v>
      </c>
      <c r="L158" s="10">
        <v>37.799999999999997</v>
      </c>
      <c r="M158" s="10">
        <v>1.262</v>
      </c>
      <c r="N158" s="10" t="s">
        <v>72</v>
      </c>
      <c r="O158" s="11" t="str">
        <f>IF(OR(F158&lt;Thresholds!$B$6,H158&gt;=Thresholds!$B$7,K158&gt;=Thresholds!$B$9,L158&gt;Thresholds!$B$11,G158&gt;Thresholds!$B$10),"ISOLATE",IF(AND(F158&gt;=Thresholds!$B$5,K158&lt;=Thresholds!$B$8),"SAFE","DEGRADE/USE"))</f>
        <v>ISOLATE</v>
      </c>
      <c r="P158" s="12">
        <f>Thresholds!$B$14*MIN(100-F158,40)/40+Thresholds!$B$15*MIN(H158,90)/90+Thresholds!$B$16*MIN(K158,100)/100+Thresholds!$B$17*MIN(I158,1600)/1600+Thresholds!$B$18*MIN(J158,5)/5+Thresholds!$B$19*MAX(0,G158-25)/25</f>
        <v>82.098333333333343</v>
      </c>
      <c r="Q158" s="11" t="str">
        <f>IF(P158&gt;Thresholds!$B$13,"High Risk",IF(P158&gt;Thresholds!$B$12,"Moderate Risk","Low Risk"))</f>
        <v>High Risk</v>
      </c>
      <c r="R158" s="11" t="str">
        <f>TRIM(IF(F158&lt;Thresholds!$B$6,"Low SOH; ","")&amp;IF(H158&gt;=Thresholds!$B$7,"High IR; ","")&amp;IF(K158&gt;=Thresholds!$B$9,"High Imbalance; ","")&amp;IF(L158&gt;Thresholds!$B$11,"Sustained Heat 24h; ","")&amp;IF(G158&gt;Thresholds!$B$10,"High Temp; ",""))</f>
        <v>High IR;</v>
      </c>
    </row>
    <row r="159" spans="1:18" x14ac:dyDescent="0.3">
      <c r="A159" s="10" t="s">
        <v>230</v>
      </c>
      <c r="B159" s="10" t="s">
        <v>71</v>
      </c>
      <c r="C159" s="10">
        <v>48</v>
      </c>
      <c r="D159" s="10">
        <v>40</v>
      </c>
      <c r="E159" s="10">
        <v>68.7</v>
      </c>
      <c r="F159" s="10">
        <v>74</v>
      </c>
      <c r="G159" s="10">
        <v>30.3</v>
      </c>
      <c r="H159" s="10">
        <v>68.099999999999994</v>
      </c>
      <c r="I159" s="10">
        <v>1106</v>
      </c>
      <c r="J159" s="10">
        <v>1.01</v>
      </c>
      <c r="K159" s="10">
        <v>64.400000000000006</v>
      </c>
      <c r="L159" s="10">
        <v>33.700000000000003</v>
      </c>
      <c r="M159" s="10">
        <v>0.97599999999999998</v>
      </c>
      <c r="N159" s="10" t="s">
        <v>72</v>
      </c>
      <c r="O159" s="11" t="str">
        <f>IF(OR(F159&lt;Thresholds!$B$6,H159&gt;=Thresholds!$B$7,K159&gt;=Thresholds!$B$9,L159&gt;Thresholds!$B$11,G159&gt;Thresholds!$B$10),"ISOLATE",IF(AND(F159&gt;=Thresholds!$B$5,K159&lt;=Thresholds!$B$8),"SAFE","DEGRADE/USE"))</f>
        <v>DEGRADE/USE</v>
      </c>
      <c r="P159" s="12">
        <f>Thresholds!$B$14*MIN(100-F159,40)/40+Thresholds!$B$15*MIN(H159,90)/90+Thresholds!$B$16*MIN(K159,100)/100+Thresholds!$B$17*MIN(I159,1600)/1600+Thresholds!$B$18*MIN(J159,5)/5+Thresholds!$B$19*MAX(0,G159-25)/25</f>
        <v>63.529166666666669</v>
      </c>
      <c r="Q159" s="11" t="str">
        <f>IF(P159&gt;Thresholds!$B$13,"High Risk",IF(P159&gt;Thresholds!$B$12,"Moderate Risk","Low Risk"))</f>
        <v>Moderate Risk</v>
      </c>
      <c r="R159" s="11" t="str">
        <f>TRIM(IF(F159&lt;Thresholds!$B$6,"Low SOH; ","")&amp;IF(H159&gt;=Thresholds!$B$7,"High IR; ","")&amp;IF(K159&gt;=Thresholds!$B$9,"High Imbalance; ","")&amp;IF(L159&gt;Thresholds!$B$11,"Sustained Heat 24h; ","")&amp;IF(G159&gt;Thresholds!$B$10,"High Temp; ",""))</f>
        <v/>
      </c>
    </row>
    <row r="160" spans="1:18" x14ac:dyDescent="0.3">
      <c r="A160" s="10" t="s">
        <v>231</v>
      </c>
      <c r="B160" s="10" t="s">
        <v>71</v>
      </c>
      <c r="C160" s="10">
        <v>48</v>
      </c>
      <c r="D160" s="10">
        <v>40</v>
      </c>
      <c r="E160" s="10">
        <v>86.5</v>
      </c>
      <c r="F160" s="10">
        <v>82.4</v>
      </c>
      <c r="G160" s="10">
        <v>35.700000000000003</v>
      </c>
      <c r="H160" s="10">
        <v>59.7</v>
      </c>
      <c r="I160" s="10">
        <v>347</v>
      </c>
      <c r="J160" s="10">
        <v>3.96</v>
      </c>
      <c r="K160" s="10">
        <v>41.5</v>
      </c>
      <c r="L160" s="10">
        <v>40.799999999999997</v>
      </c>
      <c r="M160" s="10">
        <v>1.3680000000000001</v>
      </c>
      <c r="N160" s="10" t="s">
        <v>72</v>
      </c>
      <c r="O160" s="11" t="str">
        <f>IF(OR(F160&lt;Thresholds!$B$6,H160&gt;=Thresholds!$B$7,K160&gt;=Thresholds!$B$9,L160&gt;Thresholds!$B$11,G160&gt;Thresholds!$B$10),"ISOLATE",IF(AND(F160&gt;=Thresholds!$B$5,K160&lt;=Thresholds!$B$8),"SAFE","DEGRADE/USE"))</f>
        <v>SAFE</v>
      </c>
      <c r="P160" s="12">
        <f>Thresholds!$B$14*MIN(100-F160,40)/40+Thresholds!$B$15*MIN(H160,90)/90+Thresholds!$B$16*MIN(K160,100)/100+Thresholds!$B$17*MIN(I160,1600)/1600+Thresholds!$B$18*MIN(J160,5)/5+Thresholds!$B$19*MAX(0,G160-25)/25</f>
        <v>48.552083333333336</v>
      </c>
      <c r="Q160" s="11" t="str">
        <f>IF(P160&gt;Thresholds!$B$13,"High Risk",IF(P160&gt;Thresholds!$B$12,"Moderate Risk","Low Risk"))</f>
        <v>Moderate Risk</v>
      </c>
      <c r="R160" s="11" t="str">
        <f>TRIM(IF(F160&lt;Thresholds!$B$6,"Low SOH; ","")&amp;IF(H160&gt;=Thresholds!$B$7,"High IR; ","")&amp;IF(K160&gt;=Thresholds!$B$9,"High Imbalance; ","")&amp;IF(L160&gt;Thresholds!$B$11,"Sustained Heat 24h; ","")&amp;IF(G160&gt;Thresholds!$B$10,"High Temp; ",""))</f>
        <v/>
      </c>
    </row>
    <row r="161" spans="1:18" x14ac:dyDescent="0.3">
      <c r="A161" s="10" t="s">
        <v>232</v>
      </c>
      <c r="B161" s="10" t="s">
        <v>71</v>
      </c>
      <c r="C161" s="10">
        <v>48</v>
      </c>
      <c r="D161" s="10">
        <v>40</v>
      </c>
      <c r="E161" s="10">
        <v>41.5</v>
      </c>
      <c r="F161" s="10">
        <v>67.599999999999994</v>
      </c>
      <c r="G161" s="10">
        <v>30.8</v>
      </c>
      <c r="H161" s="10">
        <v>69.5</v>
      </c>
      <c r="I161" s="10">
        <v>1365</v>
      </c>
      <c r="J161" s="10">
        <v>1.72</v>
      </c>
      <c r="K161" s="10">
        <v>77.5</v>
      </c>
      <c r="L161" s="10">
        <v>33.700000000000003</v>
      </c>
      <c r="M161" s="10">
        <v>0.53900000000000003</v>
      </c>
      <c r="N161" s="10" t="s">
        <v>72</v>
      </c>
      <c r="O161" s="11" t="str">
        <f>IF(OR(F161&lt;Thresholds!$B$6,H161&gt;=Thresholds!$B$7,K161&gt;=Thresholds!$B$9,L161&gt;Thresholds!$B$11,G161&gt;Thresholds!$B$10),"ISOLATE",IF(AND(F161&gt;=Thresholds!$B$5,K161&lt;=Thresholds!$B$8),"SAFE","DEGRADE/USE"))</f>
        <v>DEGRADE/USE</v>
      </c>
      <c r="P161" s="12">
        <f>Thresholds!$B$14*MIN(100-F161,40)/40+Thresholds!$B$15*MIN(H161,90)/90+Thresholds!$B$16*MIN(K161,100)/100+Thresholds!$B$17*MIN(I161,1600)/1600+Thresholds!$B$18*MIN(J161,5)/5+Thresholds!$B$19*MAX(0,G161-25)/25</f>
        <v>74.566805555555561</v>
      </c>
      <c r="Q161" s="11" t="str">
        <f>IF(P161&gt;Thresholds!$B$13,"High Risk",IF(P161&gt;Thresholds!$B$12,"Moderate Risk","Low Risk"))</f>
        <v>High Risk</v>
      </c>
      <c r="R161" s="11" t="str">
        <f>TRIM(IF(F161&lt;Thresholds!$B$6,"Low SOH; ","")&amp;IF(H161&gt;=Thresholds!$B$7,"High IR; ","")&amp;IF(K161&gt;=Thresholds!$B$9,"High Imbalance; ","")&amp;IF(L161&gt;Thresholds!$B$11,"Sustained Heat 24h; ","")&amp;IF(G161&gt;Thresholds!$B$10,"High Temp; ",""))</f>
        <v/>
      </c>
    </row>
    <row r="162" spans="1:18" x14ac:dyDescent="0.3">
      <c r="A162" s="10" t="s">
        <v>233</v>
      </c>
      <c r="B162" s="10" t="s">
        <v>71</v>
      </c>
      <c r="C162" s="10">
        <v>48</v>
      </c>
      <c r="D162" s="10">
        <v>40</v>
      </c>
      <c r="E162" s="10">
        <v>62.4</v>
      </c>
      <c r="F162" s="10">
        <v>91.1</v>
      </c>
      <c r="G162" s="10">
        <v>30.4</v>
      </c>
      <c r="H162" s="10">
        <v>46.5</v>
      </c>
      <c r="I162" s="10">
        <v>276</v>
      </c>
      <c r="J162" s="10">
        <v>2.4700000000000002</v>
      </c>
      <c r="K162" s="10">
        <v>21.9</v>
      </c>
      <c r="L162" s="10">
        <v>36</v>
      </c>
      <c r="M162" s="10">
        <v>1.091</v>
      </c>
      <c r="N162" s="10" t="s">
        <v>72</v>
      </c>
      <c r="O162" s="11" t="str">
        <f>IF(OR(F162&lt;Thresholds!$B$6,H162&gt;=Thresholds!$B$7,K162&gt;=Thresholds!$B$9,L162&gt;Thresholds!$B$11,G162&gt;Thresholds!$B$10),"ISOLATE",IF(AND(F162&gt;=Thresholds!$B$5,K162&lt;=Thresholds!$B$8),"SAFE","DEGRADE/USE"))</f>
        <v>SAFE</v>
      </c>
      <c r="P162" s="12">
        <f>Thresholds!$B$14*MIN(100-F162,40)/40+Thresholds!$B$15*MIN(H162,90)/90+Thresholds!$B$16*MIN(K162,100)/100+Thresholds!$B$17*MIN(I162,1600)/1600+Thresholds!$B$18*MIN(J162,5)/5+Thresholds!$B$19*MAX(0,G162-25)/25</f>
        <v>30.35916666666667</v>
      </c>
      <c r="Q162" s="11" t="str">
        <f>IF(P162&gt;Thresholds!$B$13,"High Risk",IF(P162&gt;Thresholds!$B$12,"Moderate Risk","Low Risk"))</f>
        <v>Low Risk</v>
      </c>
      <c r="R162" s="11" t="str">
        <f>TRIM(IF(F162&lt;Thresholds!$B$6,"Low SOH; ","")&amp;IF(H162&gt;=Thresholds!$B$7,"High IR; ","")&amp;IF(K162&gt;=Thresholds!$B$9,"High Imbalance; ","")&amp;IF(L162&gt;Thresholds!$B$11,"Sustained Heat 24h; ","")&amp;IF(G162&gt;Thresholds!$B$10,"High Temp; ",""))</f>
        <v/>
      </c>
    </row>
    <row r="163" spans="1:18" x14ac:dyDescent="0.3">
      <c r="A163" s="10" t="s">
        <v>234</v>
      </c>
      <c r="B163" s="10" t="s">
        <v>71</v>
      </c>
      <c r="C163" s="10">
        <v>48</v>
      </c>
      <c r="D163" s="10">
        <v>40</v>
      </c>
      <c r="E163" s="10">
        <v>95.1</v>
      </c>
      <c r="F163" s="10">
        <v>71.3</v>
      </c>
      <c r="G163" s="10">
        <v>36.1</v>
      </c>
      <c r="H163" s="10">
        <v>63.2</v>
      </c>
      <c r="I163" s="10">
        <v>1096</v>
      </c>
      <c r="J163" s="10">
        <v>4.03</v>
      </c>
      <c r="K163" s="10">
        <v>69.8</v>
      </c>
      <c r="L163" s="10">
        <v>36.4</v>
      </c>
      <c r="M163" s="10">
        <v>1.3009999999999999</v>
      </c>
      <c r="N163" s="10" t="s">
        <v>72</v>
      </c>
      <c r="O163" s="11" t="str">
        <f>IF(OR(F163&lt;Thresholds!$B$6,H163&gt;=Thresholds!$B$7,K163&gt;=Thresholds!$B$9,L163&gt;Thresholds!$B$11,G163&gt;Thresholds!$B$10),"ISOLATE",IF(AND(F163&gt;=Thresholds!$B$5,K163&lt;=Thresholds!$B$8),"SAFE","DEGRADE/USE"))</f>
        <v>DEGRADE/USE</v>
      </c>
      <c r="P163" s="12">
        <f>Thresholds!$B$14*MIN(100-F163,40)/40+Thresholds!$B$15*MIN(H163,90)/90+Thresholds!$B$16*MIN(K163,100)/100+Thresholds!$B$17*MIN(I163,1600)/1600+Thresholds!$B$18*MIN(J163,5)/5+Thresholds!$B$19*MAX(0,G163-25)/25</f>
        <v>69.728055555555557</v>
      </c>
      <c r="Q163" s="11" t="str">
        <f>IF(P163&gt;Thresholds!$B$13,"High Risk",IF(P163&gt;Thresholds!$B$12,"Moderate Risk","Low Risk"))</f>
        <v>High Risk</v>
      </c>
      <c r="R163" s="11" t="str">
        <f>TRIM(IF(F163&lt;Thresholds!$B$6,"Low SOH; ","")&amp;IF(H163&gt;=Thresholds!$B$7,"High IR; ","")&amp;IF(K163&gt;=Thresholds!$B$9,"High Imbalance; ","")&amp;IF(L163&gt;Thresholds!$B$11,"Sustained Heat 24h; ","")&amp;IF(G163&gt;Thresholds!$B$10,"High Temp; ",""))</f>
        <v/>
      </c>
    </row>
    <row r="164" spans="1:18" x14ac:dyDescent="0.3">
      <c r="A164" s="10" t="s">
        <v>235</v>
      </c>
      <c r="B164" s="10" t="s">
        <v>71</v>
      </c>
      <c r="C164" s="10">
        <v>48</v>
      </c>
      <c r="D164" s="10">
        <v>40</v>
      </c>
      <c r="E164" s="10">
        <v>100</v>
      </c>
      <c r="F164" s="10">
        <v>88.1</v>
      </c>
      <c r="G164" s="10">
        <v>34.4</v>
      </c>
      <c r="H164" s="10">
        <v>55</v>
      </c>
      <c r="I164" s="10">
        <v>196</v>
      </c>
      <c r="J164" s="10">
        <v>3.1</v>
      </c>
      <c r="K164" s="10">
        <v>44.8</v>
      </c>
      <c r="L164" s="10">
        <v>36.6</v>
      </c>
      <c r="M164" s="10">
        <v>1.6919999999999999</v>
      </c>
      <c r="N164" s="10" t="s">
        <v>72</v>
      </c>
      <c r="O164" s="11" t="str">
        <f>IF(OR(F164&lt;Thresholds!$B$6,H164&gt;=Thresholds!$B$7,K164&gt;=Thresholds!$B$9,L164&gt;Thresholds!$B$11,G164&gt;Thresholds!$B$10),"ISOLATE",IF(AND(F164&gt;=Thresholds!$B$5,K164&lt;=Thresholds!$B$8),"SAFE","DEGRADE/USE"))</f>
        <v>SAFE</v>
      </c>
      <c r="P164" s="12">
        <f>Thresholds!$B$14*MIN(100-F164,40)/40+Thresholds!$B$15*MIN(H164,90)/90+Thresholds!$B$16*MIN(K164,100)/100+Thresholds!$B$17*MIN(I164,1600)/1600+Thresholds!$B$18*MIN(J164,5)/5+Thresholds!$B$19*MAX(0,G164-25)/25</f>
        <v>40.855277777777793</v>
      </c>
      <c r="Q164" s="11" t="str">
        <f>IF(P164&gt;Thresholds!$B$13,"High Risk",IF(P164&gt;Thresholds!$B$12,"Moderate Risk","Low Risk"))</f>
        <v>Moderate Risk</v>
      </c>
      <c r="R164" s="11" t="str">
        <f>TRIM(IF(F164&lt;Thresholds!$B$6,"Low SOH; ","")&amp;IF(H164&gt;=Thresholds!$B$7,"High IR; ","")&amp;IF(K164&gt;=Thresholds!$B$9,"High Imbalance; ","")&amp;IF(L164&gt;Thresholds!$B$11,"Sustained Heat 24h; ","")&amp;IF(G164&gt;Thresholds!$B$10,"High Temp; ",""))</f>
        <v/>
      </c>
    </row>
    <row r="165" spans="1:18" x14ac:dyDescent="0.3">
      <c r="A165" s="10" t="s">
        <v>236</v>
      </c>
      <c r="B165" s="10" t="s">
        <v>71</v>
      </c>
      <c r="C165" s="10">
        <v>48</v>
      </c>
      <c r="D165" s="10">
        <v>40</v>
      </c>
      <c r="E165" s="10">
        <v>100</v>
      </c>
      <c r="F165" s="10">
        <v>91.5</v>
      </c>
      <c r="G165" s="10">
        <v>31.6</v>
      </c>
      <c r="H165" s="10">
        <v>45.6</v>
      </c>
      <c r="I165" s="10">
        <v>121</v>
      </c>
      <c r="J165" s="10">
        <v>2.42</v>
      </c>
      <c r="K165" s="10">
        <v>32.200000000000003</v>
      </c>
      <c r="L165" s="10">
        <v>39.1</v>
      </c>
      <c r="M165" s="10">
        <v>1.758</v>
      </c>
      <c r="N165" s="10" t="s">
        <v>72</v>
      </c>
      <c r="O165" s="11" t="str">
        <f>IF(OR(F165&lt;Thresholds!$B$6,H165&gt;=Thresholds!$B$7,K165&gt;=Thresholds!$B$9,L165&gt;Thresholds!$B$11,G165&gt;Thresholds!$B$10),"ISOLATE",IF(AND(F165&gt;=Thresholds!$B$5,K165&lt;=Thresholds!$B$8),"SAFE","DEGRADE/USE"))</f>
        <v>SAFE</v>
      </c>
      <c r="P165" s="12">
        <f>Thresholds!$B$14*MIN(100-F165,40)/40+Thresholds!$B$15*MIN(H165,90)/90+Thresholds!$B$16*MIN(K165,100)/100+Thresholds!$B$17*MIN(I165,1600)/1600+Thresholds!$B$18*MIN(J165,5)/5+Thresholds!$B$19*MAX(0,G165-25)/25</f>
        <v>31.040416666666665</v>
      </c>
      <c r="Q165" s="11" t="str">
        <f>IF(P165&gt;Thresholds!$B$13,"High Risk",IF(P165&gt;Thresholds!$B$12,"Moderate Risk","Low Risk"))</f>
        <v>Low Risk</v>
      </c>
      <c r="R165" s="11" t="str">
        <f>TRIM(IF(F165&lt;Thresholds!$B$6,"Low SOH; ","")&amp;IF(H165&gt;=Thresholds!$B$7,"High IR; ","")&amp;IF(K165&gt;=Thresholds!$B$9,"High Imbalance; ","")&amp;IF(L165&gt;Thresholds!$B$11,"Sustained Heat 24h; ","")&amp;IF(G165&gt;Thresholds!$B$10,"High Temp; ",""))</f>
        <v/>
      </c>
    </row>
    <row r="166" spans="1:18" x14ac:dyDescent="0.3">
      <c r="A166" s="10" t="s">
        <v>237</v>
      </c>
      <c r="B166" s="10" t="s">
        <v>71</v>
      </c>
      <c r="C166" s="10">
        <v>48</v>
      </c>
      <c r="D166" s="10">
        <v>40</v>
      </c>
      <c r="E166" s="10">
        <v>100</v>
      </c>
      <c r="F166" s="10">
        <v>86.6</v>
      </c>
      <c r="G166" s="10">
        <v>27.7</v>
      </c>
      <c r="H166" s="10">
        <v>50.6</v>
      </c>
      <c r="I166" s="10">
        <v>568</v>
      </c>
      <c r="J166" s="10">
        <v>1.55</v>
      </c>
      <c r="K166" s="10">
        <v>28.8</v>
      </c>
      <c r="L166" s="10">
        <v>33.799999999999997</v>
      </c>
      <c r="M166" s="10">
        <v>1.6619999999999999</v>
      </c>
      <c r="N166" s="10" t="s">
        <v>72</v>
      </c>
      <c r="O166" s="11" t="str">
        <f>IF(OR(F166&lt;Thresholds!$B$6,H166&gt;=Thresholds!$B$7,K166&gt;=Thresholds!$B$9,L166&gt;Thresholds!$B$11,G166&gt;Thresholds!$B$10),"ISOLATE",IF(AND(F166&gt;=Thresholds!$B$5,K166&lt;=Thresholds!$B$8),"SAFE","DEGRADE/USE"))</f>
        <v>SAFE</v>
      </c>
      <c r="P166" s="12">
        <f>Thresholds!$B$14*MIN(100-F166,40)/40+Thresholds!$B$15*MIN(H166,90)/90+Thresholds!$B$16*MIN(K166,100)/100+Thresholds!$B$17*MIN(I166,1600)/1600+Thresholds!$B$18*MIN(J166,5)/5+Thresholds!$B$19*MAX(0,G166-25)/25</f>
        <v>37.18055555555555</v>
      </c>
      <c r="Q166" s="11" t="str">
        <f>IF(P166&gt;Thresholds!$B$13,"High Risk",IF(P166&gt;Thresholds!$B$12,"Moderate Risk","Low Risk"))</f>
        <v>Moderate Risk</v>
      </c>
      <c r="R166" s="11" t="str">
        <f>TRIM(IF(F166&lt;Thresholds!$B$6,"Low SOH; ","")&amp;IF(H166&gt;=Thresholds!$B$7,"High IR; ","")&amp;IF(K166&gt;=Thresholds!$B$9,"High Imbalance; ","")&amp;IF(L166&gt;Thresholds!$B$11,"Sustained Heat 24h; ","")&amp;IF(G166&gt;Thresholds!$B$10,"High Temp; ",""))</f>
        <v/>
      </c>
    </row>
    <row r="167" spans="1:18" x14ac:dyDescent="0.3">
      <c r="A167" s="10" t="s">
        <v>238</v>
      </c>
      <c r="B167" s="10" t="s">
        <v>71</v>
      </c>
      <c r="C167" s="10">
        <v>48</v>
      </c>
      <c r="D167" s="10">
        <v>40</v>
      </c>
      <c r="E167" s="10">
        <v>100</v>
      </c>
      <c r="F167" s="10">
        <v>77.8</v>
      </c>
      <c r="G167" s="10">
        <v>27.3</v>
      </c>
      <c r="H167" s="10">
        <v>65.2</v>
      </c>
      <c r="I167" s="10">
        <v>1133</v>
      </c>
      <c r="J167" s="10">
        <v>0.48</v>
      </c>
      <c r="K167" s="10">
        <v>57.4</v>
      </c>
      <c r="L167" s="10">
        <v>30.6</v>
      </c>
      <c r="M167" s="10">
        <v>1.4930000000000001</v>
      </c>
      <c r="N167" s="10" t="s">
        <v>72</v>
      </c>
      <c r="O167" s="11" t="str">
        <f>IF(OR(F167&lt;Thresholds!$B$6,H167&gt;=Thresholds!$B$7,K167&gt;=Thresholds!$B$9,L167&gt;Thresholds!$B$11,G167&gt;Thresholds!$B$10),"ISOLATE",IF(AND(F167&gt;=Thresholds!$B$5,K167&lt;=Thresholds!$B$8),"SAFE","DEGRADE/USE"))</f>
        <v>DEGRADE/USE</v>
      </c>
      <c r="P167" s="12">
        <f>Thresholds!$B$14*MIN(100-F167,40)/40+Thresholds!$B$15*MIN(H167,90)/90+Thresholds!$B$16*MIN(K167,100)/100+Thresholds!$B$17*MIN(I167,1600)/1600+Thresholds!$B$18*MIN(J167,5)/5+Thresholds!$B$19*MAX(0,G167-25)/25</f>
        <v>57.03736111111111</v>
      </c>
      <c r="Q167" s="11" t="str">
        <f>IF(P167&gt;Thresholds!$B$13,"High Risk",IF(P167&gt;Thresholds!$B$12,"Moderate Risk","Low Risk"))</f>
        <v>Moderate Risk</v>
      </c>
      <c r="R167" s="11" t="str">
        <f>TRIM(IF(F167&lt;Thresholds!$B$6,"Low SOH; ","")&amp;IF(H167&gt;=Thresholds!$B$7,"High IR; ","")&amp;IF(K167&gt;=Thresholds!$B$9,"High Imbalance; ","")&amp;IF(L167&gt;Thresholds!$B$11,"Sustained Heat 24h; ","")&amp;IF(G167&gt;Thresholds!$B$10,"High Temp; ",""))</f>
        <v/>
      </c>
    </row>
    <row r="168" spans="1:18" x14ac:dyDescent="0.3">
      <c r="A168" s="10" t="s">
        <v>239</v>
      </c>
      <c r="B168" s="10" t="s">
        <v>71</v>
      </c>
      <c r="C168" s="10">
        <v>48</v>
      </c>
      <c r="D168" s="10">
        <v>40</v>
      </c>
      <c r="E168" s="10">
        <v>60.8</v>
      </c>
      <c r="F168" s="10">
        <v>73.400000000000006</v>
      </c>
      <c r="G168" s="10">
        <v>27.7</v>
      </c>
      <c r="H168" s="10">
        <v>72.099999999999994</v>
      </c>
      <c r="I168" s="10">
        <v>984</v>
      </c>
      <c r="J168" s="10">
        <v>3.74</v>
      </c>
      <c r="K168" s="10">
        <v>68.900000000000006</v>
      </c>
      <c r="L168" s="10">
        <v>28.8</v>
      </c>
      <c r="M168" s="10">
        <v>0.85699999999999998</v>
      </c>
      <c r="N168" s="10" t="s">
        <v>72</v>
      </c>
      <c r="O168" s="11" t="str">
        <f>IF(OR(F168&lt;Thresholds!$B$6,H168&gt;=Thresholds!$B$7,K168&gt;=Thresholds!$B$9,L168&gt;Thresholds!$B$11,G168&gt;Thresholds!$B$10),"ISOLATE",IF(AND(F168&gt;=Thresholds!$B$5,K168&lt;=Thresholds!$B$8),"SAFE","DEGRADE/USE"))</f>
        <v>DEGRADE/USE</v>
      </c>
      <c r="P168" s="12">
        <f>Thresholds!$B$14*MIN(100-F168,40)/40+Thresholds!$B$15*MIN(H168,90)/90+Thresholds!$B$16*MIN(K168,100)/100+Thresholds!$B$17*MIN(I168,1600)/1600+Thresholds!$B$18*MIN(J168,5)/5+Thresholds!$B$19*MAX(0,G168-25)/25</f>
        <v>67.512777777777771</v>
      </c>
      <c r="Q168" s="11" t="str">
        <f>IF(P168&gt;Thresholds!$B$13,"High Risk",IF(P168&gt;Thresholds!$B$12,"Moderate Risk","Low Risk"))</f>
        <v>High Risk</v>
      </c>
      <c r="R168" s="11" t="str">
        <f>TRIM(IF(F168&lt;Thresholds!$B$6,"Low SOH; ","")&amp;IF(H168&gt;=Thresholds!$B$7,"High IR; ","")&amp;IF(K168&gt;=Thresholds!$B$9,"High Imbalance; ","")&amp;IF(L168&gt;Thresholds!$B$11,"Sustained Heat 24h; ","")&amp;IF(G168&gt;Thresholds!$B$10,"High Temp; ",""))</f>
        <v/>
      </c>
    </row>
    <row r="169" spans="1:18" x14ac:dyDescent="0.3">
      <c r="A169" s="10" t="s">
        <v>240</v>
      </c>
      <c r="B169" s="10" t="s">
        <v>71</v>
      </c>
      <c r="C169" s="10">
        <v>48</v>
      </c>
      <c r="D169" s="10">
        <v>40</v>
      </c>
      <c r="E169" s="10">
        <v>46.8</v>
      </c>
      <c r="F169" s="10">
        <v>76.2</v>
      </c>
      <c r="G169" s="10">
        <v>27.1</v>
      </c>
      <c r="H169" s="10">
        <v>63</v>
      </c>
      <c r="I169" s="10">
        <v>893</v>
      </c>
      <c r="J169" s="10">
        <v>4.1399999999999997</v>
      </c>
      <c r="K169" s="10">
        <v>62.6</v>
      </c>
      <c r="L169" s="10">
        <v>31.4</v>
      </c>
      <c r="M169" s="10">
        <v>0.68400000000000005</v>
      </c>
      <c r="N169" s="10" t="s">
        <v>72</v>
      </c>
      <c r="O169" s="11" t="str">
        <f>IF(OR(F169&lt;Thresholds!$B$6,H169&gt;=Thresholds!$B$7,K169&gt;=Thresholds!$B$9,L169&gt;Thresholds!$B$11,G169&gt;Thresholds!$B$10),"ISOLATE",IF(AND(F169&gt;=Thresholds!$B$5,K169&lt;=Thresholds!$B$8),"SAFE","DEGRADE/USE"))</f>
        <v>DEGRADE/USE</v>
      </c>
      <c r="P169" s="12">
        <f>Thresholds!$B$14*MIN(100-F169,40)/40+Thresholds!$B$15*MIN(H169,90)/90+Thresholds!$B$16*MIN(K169,100)/100+Thresholds!$B$17*MIN(I169,1600)/1600+Thresholds!$B$18*MIN(J169,5)/5+Thresholds!$B$19*MAX(0,G169-25)/25</f>
        <v>60.986249999999998</v>
      </c>
      <c r="Q169" s="11" t="str">
        <f>IF(P169&gt;Thresholds!$B$13,"High Risk",IF(P169&gt;Thresholds!$B$12,"Moderate Risk","Low Risk"))</f>
        <v>Moderate Risk</v>
      </c>
      <c r="R169" s="11" t="str">
        <f>TRIM(IF(F169&lt;Thresholds!$B$6,"Low SOH; ","")&amp;IF(H169&gt;=Thresholds!$B$7,"High IR; ","")&amp;IF(K169&gt;=Thresholds!$B$9,"High Imbalance; ","")&amp;IF(L169&gt;Thresholds!$B$11,"Sustained Heat 24h; ","")&amp;IF(G169&gt;Thresholds!$B$10,"High Temp; ",""))</f>
        <v/>
      </c>
    </row>
    <row r="170" spans="1:18" x14ac:dyDescent="0.3">
      <c r="A170" s="10" t="s">
        <v>241</v>
      </c>
      <c r="B170" s="10" t="s">
        <v>71</v>
      </c>
      <c r="C170" s="10">
        <v>48</v>
      </c>
      <c r="D170" s="10">
        <v>40</v>
      </c>
      <c r="E170" s="10">
        <v>27.2</v>
      </c>
      <c r="F170" s="10">
        <v>89.1</v>
      </c>
      <c r="G170" s="10">
        <v>29.3</v>
      </c>
      <c r="H170" s="10">
        <v>50.9</v>
      </c>
      <c r="I170" s="10">
        <v>284</v>
      </c>
      <c r="J170" s="10">
        <v>1.51</v>
      </c>
      <c r="K170" s="10">
        <v>24</v>
      </c>
      <c r="L170" s="10">
        <v>36.799999999999997</v>
      </c>
      <c r="M170" s="10">
        <v>0.46500000000000002</v>
      </c>
      <c r="N170" s="10" t="s">
        <v>72</v>
      </c>
      <c r="O170" s="11" t="str">
        <f>IF(OR(F170&lt;Thresholds!$B$6,H170&gt;=Thresholds!$B$7,K170&gt;=Thresholds!$B$9,L170&gt;Thresholds!$B$11,G170&gt;Thresholds!$B$10),"ISOLATE",IF(AND(F170&gt;=Thresholds!$B$5,K170&lt;=Thresholds!$B$8),"SAFE","DEGRADE/USE"))</f>
        <v>SAFE</v>
      </c>
      <c r="P170" s="12">
        <f>Thresholds!$B$14*MIN(100-F170,40)/40+Thresholds!$B$15*MIN(H170,90)/90+Thresholds!$B$16*MIN(K170,100)/100+Thresholds!$B$17*MIN(I170,1600)/1600+Thresholds!$B$18*MIN(J170,5)/5+Thresholds!$B$19*MAX(0,G170-25)/25</f>
        <v>32.621388888888895</v>
      </c>
      <c r="Q170" s="11" t="str">
        <f>IF(P170&gt;Thresholds!$B$13,"High Risk",IF(P170&gt;Thresholds!$B$12,"Moderate Risk","Low Risk"))</f>
        <v>Low Risk</v>
      </c>
      <c r="R170" s="11" t="str">
        <f>TRIM(IF(F170&lt;Thresholds!$B$6,"Low SOH; ","")&amp;IF(H170&gt;=Thresholds!$B$7,"High IR; ","")&amp;IF(K170&gt;=Thresholds!$B$9,"High Imbalance; ","")&amp;IF(L170&gt;Thresholds!$B$11,"Sustained Heat 24h; ","")&amp;IF(G170&gt;Thresholds!$B$10,"High Temp; ",""))</f>
        <v/>
      </c>
    </row>
    <row r="171" spans="1:18" x14ac:dyDescent="0.3">
      <c r="A171" s="10" t="s">
        <v>242</v>
      </c>
      <c r="B171" s="10" t="s">
        <v>71</v>
      </c>
      <c r="C171" s="10">
        <v>48</v>
      </c>
      <c r="D171" s="10">
        <v>40</v>
      </c>
      <c r="E171" s="10">
        <v>76.3</v>
      </c>
      <c r="F171" s="10">
        <v>67.599999999999994</v>
      </c>
      <c r="G171" s="10">
        <v>37.1</v>
      </c>
      <c r="H171" s="10">
        <v>76.8</v>
      </c>
      <c r="I171" s="10">
        <v>1540</v>
      </c>
      <c r="J171" s="10">
        <v>1.57</v>
      </c>
      <c r="K171" s="10">
        <v>71.099999999999994</v>
      </c>
      <c r="L171" s="10">
        <v>42.3</v>
      </c>
      <c r="M171" s="10">
        <v>0.99</v>
      </c>
      <c r="N171" s="10" t="s">
        <v>72</v>
      </c>
      <c r="O171" s="11" t="str">
        <f>IF(OR(F171&lt;Thresholds!$B$6,H171&gt;=Thresholds!$B$7,K171&gt;=Thresholds!$B$9,L171&gt;Thresholds!$B$11,G171&gt;Thresholds!$B$10),"ISOLATE",IF(AND(F171&gt;=Thresholds!$B$5,K171&lt;=Thresholds!$B$8),"SAFE","DEGRADE/USE"))</f>
        <v>DEGRADE/USE</v>
      </c>
      <c r="P171" s="12">
        <f>Thresholds!$B$14*MIN(100-F171,40)/40+Thresholds!$B$15*MIN(H171,90)/90+Thresholds!$B$16*MIN(K171,100)/100+Thresholds!$B$17*MIN(I171,1600)/1600+Thresholds!$B$18*MIN(J171,5)/5+Thresholds!$B$19*MAX(0,G171-25)/25</f>
        <v>77.518333333333331</v>
      </c>
      <c r="Q171" s="11" t="str">
        <f>IF(P171&gt;Thresholds!$B$13,"High Risk",IF(P171&gt;Thresholds!$B$12,"Moderate Risk","Low Risk"))</f>
        <v>High Risk</v>
      </c>
      <c r="R171" s="11" t="str">
        <f>TRIM(IF(F171&lt;Thresholds!$B$6,"Low SOH; ","")&amp;IF(H171&gt;=Thresholds!$B$7,"High IR; ","")&amp;IF(K171&gt;=Thresholds!$B$9,"High Imbalance; ","")&amp;IF(L171&gt;Thresholds!$B$11,"Sustained Heat 24h; ","")&amp;IF(G171&gt;Thresholds!$B$10,"High Temp; ",""))</f>
        <v/>
      </c>
    </row>
    <row r="172" spans="1:18" x14ac:dyDescent="0.3">
      <c r="A172" s="10" t="s">
        <v>243</v>
      </c>
      <c r="B172" s="10" t="s">
        <v>71</v>
      </c>
      <c r="C172" s="10">
        <v>48</v>
      </c>
      <c r="D172" s="10">
        <v>40</v>
      </c>
      <c r="E172" s="10">
        <v>69.5</v>
      </c>
      <c r="F172" s="10">
        <v>70.5</v>
      </c>
      <c r="G172" s="10">
        <v>29.5</v>
      </c>
      <c r="H172" s="10">
        <v>70.7</v>
      </c>
      <c r="I172" s="10">
        <v>1378</v>
      </c>
      <c r="J172" s="10">
        <v>4.16</v>
      </c>
      <c r="K172" s="10">
        <v>67</v>
      </c>
      <c r="L172" s="10">
        <v>30.2</v>
      </c>
      <c r="M172" s="10">
        <v>0.94</v>
      </c>
      <c r="N172" s="10" t="s">
        <v>72</v>
      </c>
      <c r="O172" s="11" t="str">
        <f>IF(OR(F172&lt;Thresholds!$B$6,H172&gt;=Thresholds!$B$7,K172&gt;=Thresholds!$B$9,L172&gt;Thresholds!$B$11,G172&gt;Thresholds!$B$10),"ISOLATE",IF(AND(F172&gt;=Thresholds!$B$5,K172&lt;=Thresholds!$B$8),"SAFE","DEGRADE/USE"))</f>
        <v>DEGRADE/USE</v>
      </c>
      <c r="P172" s="12">
        <f>Thresholds!$B$14*MIN(100-F172,40)/40+Thresholds!$B$15*MIN(H172,90)/90+Thresholds!$B$16*MIN(K172,100)/100+Thresholds!$B$17*MIN(I172,1600)/1600+Thresholds!$B$18*MIN(J172,5)/5+Thresholds!$B$19*MAX(0,G172-25)/25</f>
        <v>72.523888888888891</v>
      </c>
      <c r="Q172" s="11" t="str">
        <f>IF(P172&gt;Thresholds!$B$13,"High Risk",IF(P172&gt;Thresholds!$B$12,"Moderate Risk","Low Risk"))</f>
        <v>High Risk</v>
      </c>
      <c r="R172" s="11" t="str">
        <f>TRIM(IF(F172&lt;Thresholds!$B$6,"Low SOH; ","")&amp;IF(H172&gt;=Thresholds!$B$7,"High IR; ","")&amp;IF(K172&gt;=Thresholds!$B$9,"High Imbalance; ","")&amp;IF(L172&gt;Thresholds!$B$11,"Sustained Heat 24h; ","")&amp;IF(G172&gt;Thresholds!$B$10,"High Temp; ",""))</f>
        <v/>
      </c>
    </row>
    <row r="173" spans="1:18" x14ac:dyDescent="0.3">
      <c r="A173" s="10" t="s">
        <v>244</v>
      </c>
      <c r="B173" s="10" t="s">
        <v>71</v>
      </c>
      <c r="C173" s="10">
        <v>48</v>
      </c>
      <c r="D173" s="10">
        <v>40</v>
      </c>
      <c r="E173" s="10">
        <v>100</v>
      </c>
      <c r="F173" s="10">
        <v>93.5</v>
      </c>
      <c r="G173" s="10">
        <v>29.9</v>
      </c>
      <c r="H173" s="10">
        <v>41.2</v>
      </c>
      <c r="I173" s="10">
        <v>398</v>
      </c>
      <c r="J173" s="10">
        <v>0.27</v>
      </c>
      <c r="K173" s="10">
        <v>53.9</v>
      </c>
      <c r="L173" s="10">
        <v>33.200000000000003</v>
      </c>
      <c r="M173" s="10">
        <v>1.794</v>
      </c>
      <c r="N173" s="10" t="s">
        <v>72</v>
      </c>
      <c r="O173" s="11" t="str">
        <f>IF(OR(F173&lt;Thresholds!$B$6,H173&gt;=Thresholds!$B$7,K173&gt;=Thresholds!$B$9,L173&gt;Thresholds!$B$11,G173&gt;Thresholds!$B$10),"ISOLATE",IF(AND(F173&gt;=Thresholds!$B$5,K173&lt;=Thresholds!$B$8),"SAFE","DEGRADE/USE"))</f>
        <v>DEGRADE/USE</v>
      </c>
      <c r="P173" s="12">
        <f>Thresholds!$B$14*MIN(100-F173,40)/40+Thresholds!$B$15*MIN(H173,90)/90+Thresholds!$B$16*MIN(K173,100)/100+Thresholds!$B$17*MIN(I173,1600)/1600+Thresholds!$B$18*MIN(J173,5)/5+Thresholds!$B$19*MAX(0,G173-25)/25</f>
        <v>31.649444444444445</v>
      </c>
      <c r="Q173" s="11" t="str">
        <f>IF(P173&gt;Thresholds!$B$13,"High Risk",IF(P173&gt;Thresholds!$B$12,"Moderate Risk","Low Risk"))</f>
        <v>Low Risk</v>
      </c>
      <c r="R173" s="11" t="str">
        <f>TRIM(IF(F173&lt;Thresholds!$B$6,"Low SOH; ","")&amp;IF(H173&gt;=Thresholds!$B$7,"High IR; ","")&amp;IF(K173&gt;=Thresholds!$B$9,"High Imbalance; ","")&amp;IF(L173&gt;Thresholds!$B$11,"Sustained Heat 24h; ","")&amp;IF(G173&gt;Thresholds!$B$10,"High Temp; ",""))</f>
        <v/>
      </c>
    </row>
    <row r="174" spans="1:18" x14ac:dyDescent="0.3">
      <c r="A174" s="10" t="s">
        <v>245</v>
      </c>
      <c r="B174" s="10" t="s">
        <v>71</v>
      </c>
      <c r="C174" s="10">
        <v>48</v>
      </c>
      <c r="D174" s="10">
        <v>40</v>
      </c>
      <c r="E174" s="10">
        <v>69.8</v>
      </c>
      <c r="F174" s="10">
        <v>70.400000000000006</v>
      </c>
      <c r="G174" s="10">
        <v>20.9</v>
      </c>
      <c r="H174" s="10">
        <v>68.8</v>
      </c>
      <c r="I174" s="10">
        <v>1301</v>
      </c>
      <c r="J174" s="10">
        <v>0.39</v>
      </c>
      <c r="K174" s="10">
        <v>73.099999999999994</v>
      </c>
      <c r="L174" s="10">
        <v>23.3</v>
      </c>
      <c r="M174" s="10">
        <v>0.94399999999999995</v>
      </c>
      <c r="N174" s="10" t="s">
        <v>72</v>
      </c>
      <c r="O174" s="11" t="str">
        <f>IF(OR(F174&lt;Thresholds!$B$6,H174&gt;=Thresholds!$B$7,K174&gt;=Thresholds!$B$9,L174&gt;Thresholds!$B$11,G174&gt;Thresholds!$B$10),"ISOLATE",IF(AND(F174&gt;=Thresholds!$B$5,K174&lt;=Thresholds!$B$8),"SAFE","DEGRADE/USE"))</f>
        <v>DEGRADE/USE</v>
      </c>
      <c r="P174" s="12">
        <f>Thresholds!$B$14*MIN(100-F174,40)/40+Thresholds!$B$15*MIN(H174,90)/90+Thresholds!$B$16*MIN(K174,100)/100+Thresholds!$B$17*MIN(I174,1600)/1600+Thresholds!$B$18*MIN(J174,5)/5+Thresholds!$B$19*MAX(0,G174-25)/25</f>
        <v>68.152361111111105</v>
      </c>
      <c r="Q174" s="11" t="str">
        <f>IF(P174&gt;Thresholds!$B$13,"High Risk",IF(P174&gt;Thresholds!$B$12,"Moderate Risk","Low Risk"))</f>
        <v>High Risk</v>
      </c>
      <c r="R174" s="11" t="str">
        <f>TRIM(IF(F174&lt;Thresholds!$B$6,"Low SOH; ","")&amp;IF(H174&gt;=Thresholds!$B$7,"High IR; ","")&amp;IF(K174&gt;=Thresholds!$B$9,"High Imbalance; ","")&amp;IF(L174&gt;Thresholds!$B$11,"Sustained Heat 24h; ","")&amp;IF(G174&gt;Thresholds!$B$10,"High Temp; ",""))</f>
        <v/>
      </c>
    </row>
    <row r="175" spans="1:18" x14ac:dyDescent="0.3">
      <c r="A175" s="10" t="s">
        <v>246</v>
      </c>
      <c r="B175" s="10" t="s">
        <v>71</v>
      </c>
      <c r="C175" s="10">
        <v>48</v>
      </c>
      <c r="D175" s="10">
        <v>40</v>
      </c>
      <c r="E175" s="10">
        <v>100</v>
      </c>
      <c r="F175" s="10">
        <v>93.4</v>
      </c>
      <c r="G175" s="10">
        <v>36.4</v>
      </c>
      <c r="H175" s="10">
        <v>49.3</v>
      </c>
      <c r="I175" s="10">
        <v>161</v>
      </c>
      <c r="J175" s="10">
        <v>4.24</v>
      </c>
      <c r="K175" s="10">
        <v>23.1</v>
      </c>
      <c r="L175" s="10">
        <v>37.6</v>
      </c>
      <c r="M175" s="10">
        <v>1.794</v>
      </c>
      <c r="N175" s="10" t="s">
        <v>72</v>
      </c>
      <c r="O175" s="11" t="str">
        <f>IF(OR(F175&lt;Thresholds!$B$6,H175&gt;=Thresholds!$B$7,K175&gt;=Thresholds!$B$9,L175&gt;Thresholds!$B$11,G175&gt;Thresholds!$B$10),"ISOLATE",IF(AND(F175&gt;=Thresholds!$B$5,K175&lt;=Thresholds!$B$8),"SAFE","DEGRADE/USE"))</f>
        <v>SAFE</v>
      </c>
      <c r="P175" s="12">
        <f>Thresholds!$B$14*MIN(100-F175,40)/40+Thresholds!$B$15*MIN(H175,90)/90+Thresholds!$B$16*MIN(K175,100)/100+Thresholds!$B$17*MIN(I175,1600)/1600+Thresholds!$B$18*MIN(J175,5)/5+Thresholds!$B$19*MAX(0,G175-25)/25</f>
        <v>31.615694444444443</v>
      </c>
      <c r="Q175" s="11" t="str">
        <f>IF(P175&gt;Thresholds!$B$13,"High Risk",IF(P175&gt;Thresholds!$B$12,"Moderate Risk","Low Risk"))</f>
        <v>Low Risk</v>
      </c>
      <c r="R175" s="11" t="str">
        <f>TRIM(IF(F175&lt;Thresholds!$B$6,"Low SOH; ","")&amp;IF(H175&gt;=Thresholds!$B$7,"High IR; ","")&amp;IF(K175&gt;=Thresholds!$B$9,"High Imbalance; ","")&amp;IF(L175&gt;Thresholds!$B$11,"Sustained Heat 24h; ","")&amp;IF(G175&gt;Thresholds!$B$10,"High Temp; ",""))</f>
        <v/>
      </c>
    </row>
    <row r="176" spans="1:18" x14ac:dyDescent="0.3">
      <c r="A176" s="10" t="s">
        <v>247</v>
      </c>
      <c r="B176" s="10" t="s">
        <v>71</v>
      </c>
      <c r="C176" s="10">
        <v>48</v>
      </c>
      <c r="D176" s="10">
        <v>40</v>
      </c>
      <c r="E176" s="10">
        <v>43.4</v>
      </c>
      <c r="F176" s="10">
        <v>87.2</v>
      </c>
      <c r="G176" s="10">
        <v>29.3</v>
      </c>
      <c r="H176" s="10">
        <v>53.8</v>
      </c>
      <c r="I176" s="10">
        <v>349</v>
      </c>
      <c r="J176" s="10">
        <v>2.02</v>
      </c>
      <c r="K176" s="10">
        <v>47.6</v>
      </c>
      <c r="L176" s="10">
        <v>36.799999999999997</v>
      </c>
      <c r="M176" s="10">
        <v>0.72699999999999998</v>
      </c>
      <c r="N176" s="10" t="s">
        <v>72</v>
      </c>
      <c r="O176" s="11" t="str">
        <f>IF(OR(F176&lt;Thresholds!$B$6,H176&gt;=Thresholds!$B$7,K176&gt;=Thresholds!$B$9,L176&gt;Thresholds!$B$11,G176&gt;Thresholds!$B$10),"ISOLATE",IF(AND(F176&gt;=Thresholds!$B$5,K176&lt;=Thresholds!$B$8),"SAFE","DEGRADE/USE"))</f>
        <v>SAFE</v>
      </c>
      <c r="P176" s="12">
        <f>Thresholds!$B$14*MIN(100-F176,40)/40+Thresholds!$B$15*MIN(H176,90)/90+Thresholds!$B$16*MIN(K176,100)/100+Thresholds!$B$17*MIN(I176,1600)/1600+Thresholds!$B$18*MIN(J176,5)/5+Thresholds!$B$19*MAX(0,G176-25)/25</f>
        <v>40.725694444444443</v>
      </c>
      <c r="Q176" s="11" t="str">
        <f>IF(P176&gt;Thresholds!$B$13,"High Risk",IF(P176&gt;Thresholds!$B$12,"Moderate Risk","Low Risk"))</f>
        <v>Moderate Risk</v>
      </c>
      <c r="R176" s="11" t="str">
        <f>TRIM(IF(F176&lt;Thresholds!$B$6,"Low SOH; ","")&amp;IF(H176&gt;=Thresholds!$B$7,"High IR; ","")&amp;IF(K176&gt;=Thresholds!$B$9,"High Imbalance; ","")&amp;IF(L176&gt;Thresholds!$B$11,"Sustained Heat 24h; ","")&amp;IF(G176&gt;Thresholds!$B$10,"High Temp; ",""))</f>
        <v/>
      </c>
    </row>
    <row r="177" spans="1:18" x14ac:dyDescent="0.3">
      <c r="A177" s="10" t="s">
        <v>248</v>
      </c>
      <c r="B177" s="10" t="s">
        <v>71</v>
      </c>
      <c r="C177" s="10">
        <v>48</v>
      </c>
      <c r="D177" s="10">
        <v>40</v>
      </c>
      <c r="E177" s="10">
        <v>100</v>
      </c>
      <c r="F177" s="10">
        <v>77</v>
      </c>
      <c r="G177" s="10">
        <v>34.4</v>
      </c>
      <c r="H177" s="10">
        <v>59</v>
      </c>
      <c r="I177" s="10">
        <v>1339</v>
      </c>
      <c r="J177" s="10">
        <v>1.99</v>
      </c>
      <c r="K177" s="10">
        <v>52.8</v>
      </c>
      <c r="L177" s="10">
        <v>40.6</v>
      </c>
      <c r="M177" s="10">
        <v>1.4790000000000001</v>
      </c>
      <c r="N177" s="10" t="s">
        <v>72</v>
      </c>
      <c r="O177" s="11" t="str">
        <f>IF(OR(F177&lt;Thresholds!$B$6,H177&gt;=Thresholds!$B$7,K177&gt;=Thresholds!$B$9,L177&gt;Thresholds!$B$11,G177&gt;Thresholds!$B$10),"ISOLATE",IF(AND(F177&gt;=Thresholds!$B$5,K177&lt;=Thresholds!$B$8),"SAFE","DEGRADE/USE"))</f>
        <v>DEGRADE/USE</v>
      </c>
      <c r="P177" s="12">
        <f>Thresholds!$B$14*MIN(100-F177,40)/40+Thresholds!$B$15*MIN(H177,90)/90+Thresholds!$B$16*MIN(K177,100)/100+Thresholds!$B$17*MIN(I177,1600)/1600+Thresholds!$B$18*MIN(J177,5)/5+Thresholds!$B$19*MAX(0,G177-25)/25</f>
        <v>59.312638888888891</v>
      </c>
      <c r="Q177" s="11" t="str">
        <f>IF(P177&gt;Thresholds!$B$13,"High Risk",IF(P177&gt;Thresholds!$B$12,"Moderate Risk","Low Risk"))</f>
        <v>Moderate Risk</v>
      </c>
      <c r="R177" s="11" t="str">
        <f>TRIM(IF(F177&lt;Thresholds!$B$6,"Low SOH; ","")&amp;IF(H177&gt;=Thresholds!$B$7,"High IR; ","")&amp;IF(K177&gt;=Thresholds!$B$9,"High Imbalance; ","")&amp;IF(L177&gt;Thresholds!$B$11,"Sustained Heat 24h; ","")&amp;IF(G177&gt;Thresholds!$B$10,"High Temp; ",""))</f>
        <v/>
      </c>
    </row>
    <row r="178" spans="1:18" x14ac:dyDescent="0.3">
      <c r="A178" s="10" t="s">
        <v>249</v>
      </c>
      <c r="B178" s="10" t="s">
        <v>71</v>
      </c>
      <c r="C178" s="10">
        <v>48</v>
      </c>
      <c r="D178" s="10">
        <v>40</v>
      </c>
      <c r="E178" s="10">
        <v>72.900000000000006</v>
      </c>
      <c r="F178" s="10">
        <v>74.599999999999994</v>
      </c>
      <c r="G178" s="10">
        <v>33.700000000000003</v>
      </c>
      <c r="H178" s="10">
        <v>64.900000000000006</v>
      </c>
      <c r="I178" s="10">
        <v>1232</v>
      </c>
      <c r="J178" s="10">
        <v>1.81</v>
      </c>
      <c r="K178" s="10">
        <v>59.2</v>
      </c>
      <c r="L178" s="10">
        <v>40.5</v>
      </c>
      <c r="M178" s="10">
        <v>1.0449999999999999</v>
      </c>
      <c r="N178" s="10" t="s">
        <v>72</v>
      </c>
      <c r="O178" s="11" t="str">
        <f>IF(OR(F178&lt;Thresholds!$B$6,H178&gt;=Thresholds!$B$7,K178&gt;=Thresholds!$B$9,L178&gt;Thresholds!$B$11,G178&gt;Thresholds!$B$10),"ISOLATE",IF(AND(F178&gt;=Thresholds!$B$5,K178&lt;=Thresholds!$B$8),"SAFE","DEGRADE/USE"))</f>
        <v>DEGRADE/USE</v>
      </c>
      <c r="P178" s="12">
        <f>Thresholds!$B$14*MIN(100-F178,40)/40+Thresholds!$B$15*MIN(H178,90)/90+Thresholds!$B$16*MIN(K178,100)/100+Thresholds!$B$17*MIN(I178,1600)/1600+Thresholds!$B$18*MIN(J178,5)/5+Thresholds!$B$19*MAX(0,G178-25)/25</f>
        <v>63.342777777777791</v>
      </c>
      <c r="Q178" s="11" t="str">
        <f>IF(P178&gt;Thresholds!$B$13,"High Risk",IF(P178&gt;Thresholds!$B$12,"Moderate Risk","Low Risk"))</f>
        <v>Moderate Risk</v>
      </c>
      <c r="R178" s="11" t="str">
        <f>TRIM(IF(F178&lt;Thresholds!$B$6,"Low SOH; ","")&amp;IF(H178&gt;=Thresholds!$B$7,"High IR; ","")&amp;IF(K178&gt;=Thresholds!$B$9,"High Imbalance; ","")&amp;IF(L178&gt;Thresholds!$B$11,"Sustained Heat 24h; ","")&amp;IF(G178&gt;Thresholds!$B$10,"High Temp; ",""))</f>
        <v/>
      </c>
    </row>
    <row r="179" spans="1:18" x14ac:dyDescent="0.3">
      <c r="A179" s="10" t="s">
        <v>250</v>
      </c>
      <c r="B179" s="10" t="s">
        <v>71</v>
      </c>
      <c r="C179" s="10">
        <v>48</v>
      </c>
      <c r="D179" s="10">
        <v>40</v>
      </c>
      <c r="E179" s="10">
        <v>100</v>
      </c>
      <c r="F179" s="10">
        <v>87.3</v>
      </c>
      <c r="G179" s="10">
        <v>27.9</v>
      </c>
      <c r="H179" s="10">
        <v>55.8</v>
      </c>
      <c r="I179" s="10">
        <v>699</v>
      </c>
      <c r="J179" s="10">
        <v>1.55</v>
      </c>
      <c r="K179" s="10">
        <v>51.7</v>
      </c>
      <c r="L179" s="10">
        <v>32</v>
      </c>
      <c r="M179" s="10">
        <v>1.677</v>
      </c>
      <c r="N179" s="10" t="s">
        <v>72</v>
      </c>
      <c r="O179" s="11" t="str">
        <f>IF(OR(F179&lt;Thresholds!$B$6,H179&gt;=Thresholds!$B$7,K179&gt;=Thresholds!$B$9,L179&gt;Thresholds!$B$11,G179&gt;Thresholds!$B$10),"ISOLATE",IF(AND(F179&gt;=Thresholds!$B$5,K179&lt;=Thresholds!$B$8),"SAFE","DEGRADE/USE"))</f>
        <v>DEGRADE/USE</v>
      </c>
      <c r="P179" s="12">
        <f>Thresholds!$B$14*MIN(100-F179,40)/40+Thresholds!$B$15*MIN(H179,90)/90+Thresholds!$B$16*MIN(K179,100)/100+Thresholds!$B$17*MIN(I179,1600)/1600+Thresholds!$B$18*MIN(J179,5)/5+Thresholds!$B$19*MAX(0,G179-25)/25</f>
        <v>43.451249999999995</v>
      </c>
      <c r="Q179" s="11" t="str">
        <f>IF(P179&gt;Thresholds!$B$13,"High Risk",IF(P179&gt;Thresholds!$B$12,"Moderate Risk","Low Risk"))</f>
        <v>Moderate Risk</v>
      </c>
      <c r="R179" s="11" t="str">
        <f>TRIM(IF(F179&lt;Thresholds!$B$6,"Low SOH; ","")&amp;IF(H179&gt;=Thresholds!$B$7,"High IR; ","")&amp;IF(K179&gt;=Thresholds!$B$9,"High Imbalance; ","")&amp;IF(L179&gt;Thresholds!$B$11,"Sustained Heat 24h; ","")&amp;IF(G179&gt;Thresholds!$B$10,"High Temp; ",""))</f>
        <v/>
      </c>
    </row>
    <row r="180" spans="1:18" x14ac:dyDescent="0.3">
      <c r="A180" s="10" t="s">
        <v>251</v>
      </c>
      <c r="B180" s="10" t="s">
        <v>71</v>
      </c>
      <c r="C180" s="10">
        <v>48</v>
      </c>
      <c r="D180" s="10">
        <v>40</v>
      </c>
      <c r="E180" s="10">
        <v>93.9</v>
      </c>
      <c r="F180" s="10">
        <v>77.3</v>
      </c>
      <c r="G180" s="10">
        <v>33.700000000000003</v>
      </c>
      <c r="H180" s="10">
        <v>64.099999999999994</v>
      </c>
      <c r="I180" s="10">
        <v>581</v>
      </c>
      <c r="J180" s="10">
        <v>3.48</v>
      </c>
      <c r="K180" s="10">
        <v>66.599999999999994</v>
      </c>
      <c r="L180" s="10">
        <v>36.299999999999997</v>
      </c>
      <c r="M180" s="10">
        <v>1.3939999999999999</v>
      </c>
      <c r="N180" s="10" t="s">
        <v>72</v>
      </c>
      <c r="O180" s="11" t="str">
        <f>IF(OR(F180&lt;Thresholds!$B$6,H180&gt;=Thresholds!$B$7,K180&gt;=Thresholds!$B$9,L180&gt;Thresholds!$B$11,G180&gt;Thresholds!$B$10),"ISOLATE",IF(AND(F180&gt;=Thresholds!$B$5,K180&lt;=Thresholds!$B$8),"SAFE","DEGRADE/USE"))</f>
        <v>DEGRADE/USE</v>
      </c>
      <c r="P180" s="12">
        <f>Thresholds!$B$14*MIN(100-F180,40)/40+Thresholds!$B$15*MIN(H180,90)/90+Thresholds!$B$16*MIN(K180,100)/100+Thresholds!$B$17*MIN(I180,1600)/1600+Thresholds!$B$18*MIN(J180,5)/5+Thresholds!$B$19*MAX(0,G180-25)/25</f>
        <v>59.839305555555555</v>
      </c>
      <c r="Q180" s="11" t="str">
        <f>IF(P180&gt;Thresholds!$B$13,"High Risk",IF(P180&gt;Thresholds!$B$12,"Moderate Risk","Low Risk"))</f>
        <v>Moderate Risk</v>
      </c>
      <c r="R180" s="11" t="str">
        <f>TRIM(IF(F180&lt;Thresholds!$B$6,"Low SOH; ","")&amp;IF(H180&gt;=Thresholds!$B$7,"High IR; ","")&amp;IF(K180&gt;=Thresholds!$B$9,"High Imbalance; ","")&amp;IF(L180&gt;Thresholds!$B$11,"Sustained Heat 24h; ","")&amp;IF(G180&gt;Thresholds!$B$10,"High Temp; ",""))</f>
        <v/>
      </c>
    </row>
    <row r="181" spans="1:18" x14ac:dyDescent="0.3">
      <c r="A181" s="10" t="s">
        <v>252</v>
      </c>
      <c r="B181" s="10" t="s">
        <v>71</v>
      </c>
      <c r="C181" s="10">
        <v>48</v>
      </c>
      <c r="D181" s="10">
        <v>40</v>
      </c>
      <c r="E181" s="10">
        <v>57.4</v>
      </c>
      <c r="F181" s="10">
        <v>82.3</v>
      </c>
      <c r="G181" s="10">
        <v>23.8</v>
      </c>
      <c r="H181" s="10">
        <v>54.6</v>
      </c>
      <c r="I181" s="10">
        <v>773</v>
      </c>
      <c r="J181" s="10">
        <v>0.78</v>
      </c>
      <c r="K181" s="10">
        <v>48.6</v>
      </c>
      <c r="L181" s="10">
        <v>29.7</v>
      </c>
      <c r="M181" s="10">
        <v>0.90600000000000003</v>
      </c>
      <c r="N181" s="10" t="s">
        <v>72</v>
      </c>
      <c r="O181" s="11" t="str">
        <f>IF(OR(F181&lt;Thresholds!$B$6,H181&gt;=Thresholds!$B$7,K181&gt;=Thresholds!$B$9,L181&gt;Thresholds!$B$11,G181&gt;Thresholds!$B$10),"ISOLATE",IF(AND(F181&gt;=Thresholds!$B$5,K181&lt;=Thresholds!$B$8),"SAFE","DEGRADE/USE"))</f>
        <v>SAFE</v>
      </c>
      <c r="P181" s="12">
        <f>Thresholds!$B$14*MIN(100-F181,40)/40+Thresholds!$B$15*MIN(H181,90)/90+Thresholds!$B$16*MIN(K181,100)/100+Thresholds!$B$17*MIN(I181,1600)/1600+Thresholds!$B$18*MIN(J181,5)/5+Thresholds!$B$19*MAX(0,G181-25)/25</f>
        <v>45.985416666666666</v>
      </c>
      <c r="Q181" s="11" t="str">
        <f>IF(P181&gt;Thresholds!$B$13,"High Risk",IF(P181&gt;Thresholds!$B$12,"Moderate Risk","Low Risk"))</f>
        <v>Moderate Risk</v>
      </c>
      <c r="R181" s="11" t="str">
        <f>TRIM(IF(F181&lt;Thresholds!$B$6,"Low SOH; ","")&amp;IF(H181&gt;=Thresholds!$B$7,"High IR; ","")&amp;IF(K181&gt;=Thresholds!$B$9,"High Imbalance; ","")&amp;IF(L181&gt;Thresholds!$B$11,"Sustained Heat 24h; ","")&amp;IF(G181&gt;Thresholds!$B$10,"High Temp; ",""))</f>
        <v/>
      </c>
    </row>
    <row r="182" spans="1:18" x14ac:dyDescent="0.3">
      <c r="A182" s="10" t="s">
        <v>253</v>
      </c>
      <c r="B182" s="10" t="s">
        <v>71</v>
      </c>
      <c r="C182" s="10">
        <v>48</v>
      </c>
      <c r="D182" s="10">
        <v>40</v>
      </c>
      <c r="E182" s="10">
        <v>92.3</v>
      </c>
      <c r="F182" s="10">
        <v>66.400000000000006</v>
      </c>
      <c r="G182" s="10">
        <v>27.7</v>
      </c>
      <c r="H182" s="10">
        <v>71</v>
      </c>
      <c r="I182" s="10">
        <v>1275</v>
      </c>
      <c r="J182" s="10">
        <v>4.3899999999999997</v>
      </c>
      <c r="K182" s="10">
        <v>67.099999999999994</v>
      </c>
      <c r="L182" s="10">
        <v>35.1</v>
      </c>
      <c r="M182" s="10">
        <v>1.177</v>
      </c>
      <c r="N182" s="10" t="s">
        <v>72</v>
      </c>
      <c r="O182" s="11" t="str">
        <f>IF(OR(F182&lt;Thresholds!$B$6,H182&gt;=Thresholds!$B$7,K182&gt;=Thresholds!$B$9,L182&gt;Thresholds!$B$11,G182&gt;Thresholds!$B$10),"ISOLATE",IF(AND(F182&gt;=Thresholds!$B$5,K182&lt;=Thresholds!$B$8),"SAFE","DEGRADE/USE"))</f>
        <v>DEGRADE/USE</v>
      </c>
      <c r="P182" s="12">
        <f>Thresholds!$B$14*MIN(100-F182,40)/40+Thresholds!$B$15*MIN(H182,90)/90+Thresholds!$B$16*MIN(K182,100)/100+Thresholds!$B$17*MIN(I182,1600)/1600+Thresholds!$B$18*MIN(J182,5)/5+Thresholds!$B$19*MAX(0,G182-25)/25</f>
        <v>75.440972222222229</v>
      </c>
      <c r="Q182" s="11" t="str">
        <f>IF(P182&gt;Thresholds!$B$13,"High Risk",IF(P182&gt;Thresholds!$B$12,"Moderate Risk","Low Risk"))</f>
        <v>High Risk</v>
      </c>
      <c r="R182" s="11" t="str">
        <f>TRIM(IF(F182&lt;Thresholds!$B$6,"Low SOH; ","")&amp;IF(H182&gt;=Thresholds!$B$7,"High IR; ","")&amp;IF(K182&gt;=Thresholds!$B$9,"High Imbalance; ","")&amp;IF(L182&gt;Thresholds!$B$11,"Sustained Heat 24h; ","")&amp;IF(G182&gt;Thresholds!$B$10,"High Temp; ",""))</f>
        <v/>
      </c>
    </row>
    <row r="183" spans="1:18" x14ac:dyDescent="0.3">
      <c r="A183" s="10" t="s">
        <v>254</v>
      </c>
      <c r="B183" s="10" t="s">
        <v>71</v>
      </c>
      <c r="C183" s="10">
        <v>48</v>
      </c>
      <c r="D183" s="10">
        <v>40</v>
      </c>
      <c r="E183" s="10">
        <v>62.6</v>
      </c>
      <c r="F183" s="10">
        <v>67.599999999999994</v>
      </c>
      <c r="G183" s="10">
        <v>38.700000000000003</v>
      </c>
      <c r="H183" s="10">
        <v>76.099999999999994</v>
      </c>
      <c r="I183" s="10">
        <v>1158</v>
      </c>
      <c r="J183" s="10">
        <v>4.97</v>
      </c>
      <c r="K183" s="10">
        <v>43.7</v>
      </c>
      <c r="L183" s="10">
        <v>44.5</v>
      </c>
      <c r="M183" s="10">
        <v>0.81200000000000006</v>
      </c>
      <c r="N183" s="10" t="s">
        <v>72</v>
      </c>
      <c r="O183" s="11" t="str">
        <f>IF(OR(F183&lt;Thresholds!$B$6,H183&gt;=Thresholds!$B$7,K183&gt;=Thresholds!$B$9,L183&gt;Thresholds!$B$11,G183&gt;Thresholds!$B$10),"ISOLATE",IF(AND(F183&gt;=Thresholds!$B$5,K183&lt;=Thresholds!$B$8),"SAFE","DEGRADE/USE"))</f>
        <v>DEGRADE/USE</v>
      </c>
      <c r="P183" s="12">
        <f>Thresholds!$B$14*MIN(100-F183,40)/40+Thresholds!$B$15*MIN(H183,90)/90+Thresholds!$B$16*MIN(K183,100)/100+Thresholds!$B$17*MIN(I183,1600)/1600+Thresholds!$B$18*MIN(J183,5)/5+Thresholds!$B$19*MAX(0,G183-25)/25</f>
        <v>73.176388888888894</v>
      </c>
      <c r="Q183" s="11" t="str">
        <f>IF(P183&gt;Thresholds!$B$13,"High Risk",IF(P183&gt;Thresholds!$B$12,"Moderate Risk","Low Risk"))</f>
        <v>High Risk</v>
      </c>
      <c r="R183" s="11" t="str">
        <f>TRIM(IF(F183&lt;Thresholds!$B$6,"Low SOH; ","")&amp;IF(H183&gt;=Thresholds!$B$7,"High IR; ","")&amp;IF(K183&gt;=Thresholds!$B$9,"High Imbalance; ","")&amp;IF(L183&gt;Thresholds!$B$11,"Sustained Heat 24h; ","")&amp;IF(G183&gt;Thresholds!$B$10,"High Temp; ",""))</f>
        <v/>
      </c>
    </row>
    <row r="184" spans="1:18" x14ac:dyDescent="0.3">
      <c r="A184" s="10" t="s">
        <v>255</v>
      </c>
      <c r="B184" s="10" t="s">
        <v>71</v>
      </c>
      <c r="C184" s="10">
        <v>48</v>
      </c>
      <c r="D184" s="10">
        <v>40</v>
      </c>
      <c r="E184" s="10">
        <v>92.2</v>
      </c>
      <c r="F184" s="10">
        <v>73</v>
      </c>
      <c r="G184" s="10">
        <v>26.5</v>
      </c>
      <c r="H184" s="10">
        <v>76.900000000000006</v>
      </c>
      <c r="I184" s="10">
        <v>918</v>
      </c>
      <c r="J184" s="10">
        <v>4.0599999999999996</v>
      </c>
      <c r="K184" s="10">
        <v>63.3</v>
      </c>
      <c r="L184" s="10">
        <v>29.4</v>
      </c>
      <c r="M184" s="10">
        <v>1.2929999999999999</v>
      </c>
      <c r="N184" s="10" t="s">
        <v>72</v>
      </c>
      <c r="O184" s="11" t="str">
        <f>IF(OR(F184&lt;Thresholds!$B$6,H184&gt;=Thresholds!$B$7,K184&gt;=Thresholds!$B$9,L184&gt;Thresholds!$B$11,G184&gt;Thresholds!$B$10),"ISOLATE",IF(AND(F184&gt;=Thresholds!$B$5,K184&lt;=Thresholds!$B$8),"SAFE","DEGRADE/USE"))</f>
        <v>DEGRADE/USE</v>
      </c>
      <c r="P184" s="12">
        <f>Thresholds!$B$14*MIN(100-F184,40)/40+Thresholds!$B$15*MIN(H184,90)/90+Thresholds!$B$16*MIN(K184,100)/100+Thresholds!$B$17*MIN(I184,1600)/1600+Thresholds!$B$18*MIN(J184,5)/5+Thresholds!$B$19*MAX(0,G184-25)/25</f>
        <v>67.743611111111107</v>
      </c>
      <c r="Q184" s="11" t="str">
        <f>IF(P184&gt;Thresholds!$B$13,"High Risk",IF(P184&gt;Thresholds!$B$12,"Moderate Risk","Low Risk"))</f>
        <v>High Risk</v>
      </c>
      <c r="R184" s="11" t="str">
        <f>TRIM(IF(F184&lt;Thresholds!$B$6,"Low SOH; ","")&amp;IF(H184&gt;=Thresholds!$B$7,"High IR; ","")&amp;IF(K184&gt;=Thresholds!$B$9,"High Imbalance; ","")&amp;IF(L184&gt;Thresholds!$B$11,"Sustained Heat 24h; ","")&amp;IF(G184&gt;Thresholds!$B$10,"High Temp; ",""))</f>
        <v/>
      </c>
    </row>
    <row r="185" spans="1:18" x14ac:dyDescent="0.3">
      <c r="A185" s="10" t="s">
        <v>256</v>
      </c>
      <c r="B185" s="10" t="s">
        <v>71</v>
      </c>
      <c r="C185" s="10">
        <v>48</v>
      </c>
      <c r="D185" s="10">
        <v>40</v>
      </c>
      <c r="E185" s="10">
        <v>86.2</v>
      </c>
      <c r="F185" s="10">
        <v>89.8</v>
      </c>
      <c r="G185" s="10">
        <v>33.4</v>
      </c>
      <c r="H185" s="10">
        <v>48.8</v>
      </c>
      <c r="I185" s="10">
        <v>325</v>
      </c>
      <c r="J185" s="10">
        <v>1.24</v>
      </c>
      <c r="K185" s="10">
        <v>23</v>
      </c>
      <c r="L185" s="10">
        <v>36.5</v>
      </c>
      <c r="M185" s="10">
        <v>1.4870000000000001</v>
      </c>
      <c r="N185" s="10" t="s">
        <v>72</v>
      </c>
      <c r="O185" s="11" t="str">
        <f>IF(OR(F185&lt;Thresholds!$B$6,H185&gt;=Thresholds!$B$7,K185&gt;=Thresholds!$B$9,L185&gt;Thresholds!$B$11,G185&gt;Thresholds!$B$10),"ISOLATE",IF(AND(F185&gt;=Thresholds!$B$5,K185&lt;=Thresholds!$B$8),"SAFE","DEGRADE/USE"))</f>
        <v>SAFE</v>
      </c>
      <c r="P185" s="12">
        <f>Thresholds!$B$14*MIN(100-F185,40)/40+Thresholds!$B$15*MIN(H185,90)/90+Thresholds!$B$16*MIN(K185,100)/100+Thresholds!$B$17*MIN(I185,1600)/1600+Thresholds!$B$18*MIN(J185,5)/5+Thresholds!$B$19*MAX(0,G185-25)/25</f>
        <v>32.03180555555555</v>
      </c>
      <c r="Q185" s="11" t="str">
        <f>IF(P185&gt;Thresholds!$B$13,"High Risk",IF(P185&gt;Thresholds!$B$12,"Moderate Risk","Low Risk"))</f>
        <v>Low Risk</v>
      </c>
      <c r="R185" s="11" t="str">
        <f>TRIM(IF(F185&lt;Thresholds!$B$6,"Low SOH; ","")&amp;IF(H185&gt;=Thresholds!$B$7,"High IR; ","")&amp;IF(K185&gt;=Thresholds!$B$9,"High Imbalance; ","")&amp;IF(L185&gt;Thresholds!$B$11,"Sustained Heat 24h; ","")&amp;IF(G185&gt;Thresholds!$B$10,"High Temp; ",""))</f>
        <v/>
      </c>
    </row>
    <row r="186" spans="1:18" x14ac:dyDescent="0.3">
      <c r="A186" s="10" t="s">
        <v>257</v>
      </c>
      <c r="B186" s="10" t="s">
        <v>71</v>
      </c>
      <c r="C186" s="10">
        <v>48</v>
      </c>
      <c r="D186" s="10">
        <v>40</v>
      </c>
      <c r="E186" s="10">
        <v>83</v>
      </c>
      <c r="F186" s="10">
        <v>89</v>
      </c>
      <c r="G186" s="10">
        <v>31.3</v>
      </c>
      <c r="H186" s="10">
        <v>46.4</v>
      </c>
      <c r="I186" s="10">
        <v>166</v>
      </c>
      <c r="J186" s="10">
        <v>3.82</v>
      </c>
      <c r="K186" s="10">
        <v>43.5</v>
      </c>
      <c r="L186" s="10">
        <v>37.4</v>
      </c>
      <c r="M186" s="10">
        <v>1.419</v>
      </c>
      <c r="N186" s="10" t="s">
        <v>72</v>
      </c>
      <c r="O186" s="11" t="str">
        <f>IF(OR(F186&lt;Thresholds!$B$6,H186&gt;=Thresholds!$B$7,K186&gt;=Thresholds!$B$9,L186&gt;Thresholds!$B$11,G186&gt;Thresholds!$B$10),"ISOLATE",IF(AND(F186&gt;=Thresholds!$B$5,K186&lt;=Thresholds!$B$8),"SAFE","DEGRADE/USE"))</f>
        <v>SAFE</v>
      </c>
      <c r="P186" s="12">
        <f>Thresholds!$B$14*MIN(100-F186,40)/40+Thresholds!$B$15*MIN(H186,90)/90+Thresholds!$B$16*MIN(K186,100)/100+Thresholds!$B$17*MIN(I186,1600)/1600+Thresholds!$B$18*MIN(J186,5)/5+Thresholds!$B$19*MAX(0,G186-25)/25</f>
        <v>37.331388888888888</v>
      </c>
      <c r="Q186" s="11" t="str">
        <f>IF(P186&gt;Thresholds!$B$13,"High Risk",IF(P186&gt;Thresholds!$B$12,"Moderate Risk","Low Risk"))</f>
        <v>Moderate Risk</v>
      </c>
      <c r="R186" s="11" t="str">
        <f>TRIM(IF(F186&lt;Thresholds!$B$6,"Low SOH; ","")&amp;IF(H186&gt;=Thresholds!$B$7,"High IR; ","")&amp;IF(K186&gt;=Thresholds!$B$9,"High Imbalance; ","")&amp;IF(L186&gt;Thresholds!$B$11,"Sustained Heat 24h; ","")&amp;IF(G186&gt;Thresholds!$B$10,"High Temp; ",""))</f>
        <v/>
      </c>
    </row>
    <row r="187" spans="1:18" x14ac:dyDescent="0.3">
      <c r="A187" s="10" t="s">
        <v>258</v>
      </c>
      <c r="B187" s="10" t="s">
        <v>71</v>
      </c>
      <c r="C187" s="10">
        <v>48</v>
      </c>
      <c r="D187" s="10">
        <v>40</v>
      </c>
      <c r="E187" s="10">
        <v>71.5</v>
      </c>
      <c r="F187" s="10">
        <v>76.3</v>
      </c>
      <c r="G187" s="10">
        <v>27.2</v>
      </c>
      <c r="H187" s="10">
        <v>60.9</v>
      </c>
      <c r="I187" s="10">
        <v>743</v>
      </c>
      <c r="J187" s="10">
        <v>4.25</v>
      </c>
      <c r="K187" s="10">
        <v>67.099999999999994</v>
      </c>
      <c r="L187" s="10">
        <v>34.799999999999997</v>
      </c>
      <c r="M187" s="10">
        <v>1.0469999999999999</v>
      </c>
      <c r="N187" s="10" t="s">
        <v>72</v>
      </c>
      <c r="O187" s="11" t="str">
        <f>IF(OR(F187&lt;Thresholds!$B$6,H187&gt;=Thresholds!$B$7,K187&gt;=Thresholds!$B$9,L187&gt;Thresholds!$B$11,G187&gt;Thresholds!$B$10),"ISOLATE",IF(AND(F187&gt;=Thresholds!$B$5,K187&lt;=Thresholds!$B$8),"SAFE","DEGRADE/USE"))</f>
        <v>DEGRADE/USE</v>
      </c>
      <c r="P187" s="12">
        <f>Thresholds!$B$14*MIN(100-F187,40)/40+Thresholds!$B$15*MIN(H187,90)/90+Thresholds!$B$16*MIN(K187,100)/100+Thresholds!$B$17*MIN(I187,1600)/1600+Thresholds!$B$18*MIN(J187,5)/5+Thresholds!$B$19*MAX(0,G187-25)/25</f>
        <v>60.407916666666665</v>
      </c>
      <c r="Q187" s="11" t="str">
        <f>IF(P187&gt;Thresholds!$B$13,"High Risk",IF(P187&gt;Thresholds!$B$12,"Moderate Risk","Low Risk"))</f>
        <v>Moderate Risk</v>
      </c>
      <c r="R187" s="11" t="str">
        <f>TRIM(IF(F187&lt;Thresholds!$B$6,"Low SOH; ","")&amp;IF(H187&gt;=Thresholds!$B$7,"High IR; ","")&amp;IF(K187&gt;=Thresholds!$B$9,"High Imbalance; ","")&amp;IF(L187&gt;Thresholds!$B$11,"Sustained Heat 24h; ","")&amp;IF(G187&gt;Thresholds!$B$10,"High Temp; ",""))</f>
        <v/>
      </c>
    </row>
    <row r="188" spans="1:18" x14ac:dyDescent="0.3">
      <c r="A188" s="10" t="s">
        <v>259</v>
      </c>
      <c r="B188" s="10" t="s">
        <v>71</v>
      </c>
      <c r="C188" s="10">
        <v>48</v>
      </c>
      <c r="D188" s="10">
        <v>40</v>
      </c>
      <c r="E188" s="10">
        <v>69.8</v>
      </c>
      <c r="F188" s="10">
        <v>82.3</v>
      </c>
      <c r="G188" s="10">
        <v>38.700000000000003</v>
      </c>
      <c r="H188" s="10">
        <v>63</v>
      </c>
      <c r="I188" s="10">
        <v>879</v>
      </c>
      <c r="J188" s="10">
        <v>0.75</v>
      </c>
      <c r="K188" s="10">
        <v>33.4</v>
      </c>
      <c r="L188" s="10">
        <v>46.5</v>
      </c>
      <c r="M188" s="10">
        <v>1.103</v>
      </c>
      <c r="N188" s="10" t="s">
        <v>72</v>
      </c>
      <c r="O188" s="11" t="str">
        <f>IF(OR(F188&lt;Thresholds!$B$6,H188&gt;=Thresholds!$B$7,K188&gt;=Thresholds!$B$9,L188&gt;Thresholds!$B$11,G188&gt;Thresholds!$B$10),"ISOLATE",IF(AND(F188&gt;=Thresholds!$B$5,K188&lt;=Thresholds!$B$8),"SAFE","DEGRADE/USE"))</f>
        <v>ISOLATE</v>
      </c>
      <c r="P188" s="12">
        <f>Thresholds!$B$14*MIN(100-F188,40)/40+Thresholds!$B$15*MIN(H188,90)/90+Thresholds!$B$16*MIN(K188,100)/100+Thresholds!$B$17*MIN(I188,1600)/1600+Thresholds!$B$18*MIN(J188,5)/5+Thresholds!$B$19*MAX(0,G188-25)/25</f>
        <v>48.651250000000005</v>
      </c>
      <c r="Q188" s="11" t="str">
        <f>IF(P188&gt;Thresholds!$B$13,"High Risk",IF(P188&gt;Thresholds!$B$12,"Moderate Risk","Low Risk"))</f>
        <v>Moderate Risk</v>
      </c>
      <c r="R188" s="11" t="str">
        <f>TRIM(IF(F188&lt;Thresholds!$B$6,"Low SOH; ","")&amp;IF(H188&gt;=Thresholds!$B$7,"High IR; ","")&amp;IF(K188&gt;=Thresholds!$B$9,"High Imbalance; ","")&amp;IF(L188&gt;Thresholds!$B$11,"Sustained Heat 24h; ","")&amp;IF(G188&gt;Thresholds!$B$10,"High Temp; ",""))</f>
        <v>Sustained Heat 24h;</v>
      </c>
    </row>
    <row r="189" spans="1:18" x14ac:dyDescent="0.3">
      <c r="A189" s="10" t="s">
        <v>260</v>
      </c>
      <c r="B189" s="10" t="s">
        <v>71</v>
      </c>
      <c r="C189" s="10">
        <v>48</v>
      </c>
      <c r="D189" s="10">
        <v>40</v>
      </c>
      <c r="E189" s="10">
        <v>75.900000000000006</v>
      </c>
      <c r="F189" s="10">
        <v>71.5</v>
      </c>
      <c r="G189" s="10">
        <v>30.6</v>
      </c>
      <c r="H189" s="10">
        <v>61.1</v>
      </c>
      <c r="I189" s="10">
        <v>1291</v>
      </c>
      <c r="J189" s="10">
        <v>3.14</v>
      </c>
      <c r="K189" s="10">
        <v>52.4</v>
      </c>
      <c r="L189" s="10">
        <v>33.4</v>
      </c>
      <c r="M189" s="10">
        <v>1.042</v>
      </c>
      <c r="N189" s="10" t="s">
        <v>72</v>
      </c>
      <c r="O189" s="11" t="str">
        <f>IF(OR(F189&lt;Thresholds!$B$6,H189&gt;=Thresholds!$B$7,K189&gt;=Thresholds!$B$9,L189&gt;Thresholds!$B$11,G189&gt;Thresholds!$B$10),"ISOLATE",IF(AND(F189&gt;=Thresholds!$B$5,K189&lt;=Thresholds!$B$8),"SAFE","DEGRADE/USE"))</f>
        <v>DEGRADE/USE</v>
      </c>
      <c r="P189" s="12">
        <f>Thresholds!$B$14*MIN(100-F189,40)/40+Thresholds!$B$15*MIN(H189,90)/90+Thresholds!$B$16*MIN(K189,100)/100+Thresholds!$B$17*MIN(I189,1600)/1600+Thresholds!$B$18*MIN(J189,5)/5+Thresholds!$B$19*MAX(0,G189-25)/25</f>
        <v>64.718472222222218</v>
      </c>
      <c r="Q189" s="11" t="str">
        <f>IF(P189&gt;Thresholds!$B$13,"High Risk",IF(P189&gt;Thresholds!$B$12,"Moderate Risk","Low Risk"))</f>
        <v>Moderate Risk</v>
      </c>
      <c r="R189" s="11" t="str">
        <f>TRIM(IF(F189&lt;Thresholds!$B$6,"Low SOH; ","")&amp;IF(H189&gt;=Thresholds!$B$7,"High IR; ","")&amp;IF(K189&gt;=Thresholds!$B$9,"High Imbalance; ","")&amp;IF(L189&gt;Thresholds!$B$11,"Sustained Heat 24h; ","")&amp;IF(G189&gt;Thresholds!$B$10,"High Temp; ",""))</f>
        <v/>
      </c>
    </row>
    <row r="190" spans="1:18" x14ac:dyDescent="0.3">
      <c r="A190" s="10" t="s">
        <v>261</v>
      </c>
      <c r="B190" s="10" t="s">
        <v>71</v>
      </c>
      <c r="C190" s="10">
        <v>48</v>
      </c>
      <c r="D190" s="10">
        <v>40</v>
      </c>
      <c r="E190" s="10">
        <v>27.1</v>
      </c>
      <c r="F190" s="10">
        <v>76.7</v>
      </c>
      <c r="G190" s="10">
        <v>35</v>
      </c>
      <c r="H190" s="10">
        <v>62.2</v>
      </c>
      <c r="I190" s="10">
        <v>904</v>
      </c>
      <c r="J190" s="10">
        <v>0.86</v>
      </c>
      <c r="K190" s="10">
        <v>51.3</v>
      </c>
      <c r="L190" s="10">
        <v>39</v>
      </c>
      <c r="M190" s="10">
        <v>0.39900000000000002</v>
      </c>
      <c r="N190" s="10" t="s">
        <v>72</v>
      </c>
      <c r="O190" s="11" t="str">
        <f>IF(OR(F190&lt;Thresholds!$B$6,H190&gt;=Thresholds!$B$7,K190&gt;=Thresholds!$B$9,L190&gt;Thresholds!$B$11,G190&gt;Thresholds!$B$10),"ISOLATE",IF(AND(F190&gt;=Thresholds!$B$5,K190&lt;=Thresholds!$B$8),"SAFE","DEGRADE/USE"))</f>
        <v>DEGRADE/USE</v>
      </c>
      <c r="P190" s="12">
        <f>Thresholds!$B$14*MIN(100-F190,40)/40+Thresholds!$B$15*MIN(H190,90)/90+Thresholds!$B$16*MIN(K190,100)/100+Thresholds!$B$17*MIN(I190,1600)/1600+Thresholds!$B$18*MIN(J190,5)/5+Thresholds!$B$19*MAX(0,G190-25)/25</f>
        <v>56.43527777777777</v>
      </c>
      <c r="Q190" s="11" t="str">
        <f>IF(P190&gt;Thresholds!$B$13,"High Risk",IF(P190&gt;Thresholds!$B$12,"Moderate Risk","Low Risk"))</f>
        <v>Moderate Risk</v>
      </c>
      <c r="R190" s="11" t="str">
        <f>TRIM(IF(F190&lt;Thresholds!$B$6,"Low SOH; ","")&amp;IF(H190&gt;=Thresholds!$B$7,"High IR; ","")&amp;IF(K190&gt;=Thresholds!$B$9,"High Imbalance; ","")&amp;IF(L190&gt;Thresholds!$B$11,"Sustained Heat 24h; ","")&amp;IF(G190&gt;Thresholds!$B$10,"High Temp; ",""))</f>
        <v/>
      </c>
    </row>
    <row r="191" spans="1:18" x14ac:dyDescent="0.3">
      <c r="A191" s="10" t="s">
        <v>262</v>
      </c>
      <c r="B191" s="10" t="s">
        <v>71</v>
      </c>
      <c r="C191" s="10">
        <v>48</v>
      </c>
      <c r="D191" s="10">
        <v>40</v>
      </c>
      <c r="E191" s="10">
        <v>94.1</v>
      </c>
      <c r="F191" s="10">
        <v>75.3</v>
      </c>
      <c r="G191" s="10">
        <v>41.6</v>
      </c>
      <c r="H191" s="10">
        <v>65.8</v>
      </c>
      <c r="I191" s="10">
        <v>966</v>
      </c>
      <c r="J191" s="10">
        <v>3.32</v>
      </c>
      <c r="K191" s="10">
        <v>58.9</v>
      </c>
      <c r="L191" s="10">
        <v>42.1</v>
      </c>
      <c r="M191" s="10">
        <v>1.36</v>
      </c>
      <c r="N191" s="10" t="s">
        <v>72</v>
      </c>
      <c r="O191" s="11" t="str">
        <f>IF(OR(F191&lt;Thresholds!$B$6,H191&gt;=Thresholds!$B$7,K191&gt;=Thresholds!$B$9,L191&gt;Thresholds!$B$11,G191&gt;Thresholds!$B$10),"ISOLATE",IF(AND(F191&gt;=Thresholds!$B$5,K191&lt;=Thresholds!$B$8),"SAFE","DEGRADE/USE"))</f>
        <v>DEGRADE/USE</v>
      </c>
      <c r="P191" s="12">
        <f>Thresholds!$B$14*MIN(100-F191,40)/40+Thresholds!$B$15*MIN(H191,90)/90+Thresholds!$B$16*MIN(K191,100)/100+Thresholds!$B$17*MIN(I191,1600)/1600+Thresholds!$B$18*MIN(J191,5)/5+Thresholds!$B$19*MAX(0,G191-25)/25</f>
        <v>64.347777777777779</v>
      </c>
      <c r="Q191" s="11" t="str">
        <f>IF(P191&gt;Thresholds!$B$13,"High Risk",IF(P191&gt;Thresholds!$B$12,"Moderate Risk","Low Risk"))</f>
        <v>Moderate Risk</v>
      </c>
      <c r="R191" s="11" t="str">
        <f>TRIM(IF(F191&lt;Thresholds!$B$6,"Low SOH; ","")&amp;IF(H191&gt;=Thresholds!$B$7,"High IR; ","")&amp;IF(K191&gt;=Thresholds!$B$9,"High Imbalance; ","")&amp;IF(L191&gt;Thresholds!$B$11,"Sustained Heat 24h; ","")&amp;IF(G191&gt;Thresholds!$B$10,"High Temp; ",""))</f>
        <v/>
      </c>
    </row>
    <row r="192" spans="1:18" x14ac:dyDescent="0.3">
      <c r="A192" s="10" t="s">
        <v>263</v>
      </c>
      <c r="B192" s="10" t="s">
        <v>71</v>
      </c>
      <c r="C192" s="10">
        <v>48</v>
      </c>
      <c r="D192" s="10">
        <v>40</v>
      </c>
      <c r="E192" s="10">
        <v>73.2</v>
      </c>
      <c r="F192" s="10">
        <v>88.2</v>
      </c>
      <c r="G192" s="10">
        <v>23.7</v>
      </c>
      <c r="H192" s="10">
        <v>48.3</v>
      </c>
      <c r="I192" s="10">
        <v>382</v>
      </c>
      <c r="J192" s="10">
        <v>1.02</v>
      </c>
      <c r="K192" s="10">
        <v>43.5</v>
      </c>
      <c r="L192" s="10">
        <v>25.7</v>
      </c>
      <c r="M192" s="10">
        <v>1.238</v>
      </c>
      <c r="N192" s="10" t="s">
        <v>72</v>
      </c>
      <c r="O192" s="11" t="str">
        <f>IF(OR(F192&lt;Thresholds!$B$6,H192&gt;=Thresholds!$B$7,K192&gt;=Thresholds!$B$9,L192&gt;Thresholds!$B$11,G192&gt;Thresholds!$B$10),"ISOLATE",IF(AND(F192&gt;=Thresholds!$B$5,K192&lt;=Thresholds!$B$8),"SAFE","DEGRADE/USE"))</f>
        <v>SAFE</v>
      </c>
      <c r="P192" s="12">
        <f>Thresholds!$B$14*MIN(100-F192,40)/40+Thresholds!$B$15*MIN(H192,90)/90+Thresholds!$B$16*MIN(K192,100)/100+Thresholds!$B$17*MIN(I192,1600)/1600+Thresholds!$B$18*MIN(J192,5)/5+Thresholds!$B$19*MAX(0,G192-25)/25</f>
        <v>35.849166666666669</v>
      </c>
      <c r="Q192" s="11" t="str">
        <f>IF(P192&gt;Thresholds!$B$13,"High Risk",IF(P192&gt;Thresholds!$B$12,"Moderate Risk","Low Risk"))</f>
        <v>Moderate Risk</v>
      </c>
      <c r="R192" s="11" t="str">
        <f>TRIM(IF(F192&lt;Thresholds!$B$6,"Low SOH; ","")&amp;IF(H192&gt;=Thresholds!$B$7,"High IR; ","")&amp;IF(K192&gt;=Thresholds!$B$9,"High Imbalance; ","")&amp;IF(L192&gt;Thresholds!$B$11,"Sustained Heat 24h; ","")&amp;IF(G192&gt;Thresholds!$B$10,"High Temp; ",""))</f>
        <v/>
      </c>
    </row>
    <row r="193" spans="1:18" x14ac:dyDescent="0.3">
      <c r="A193" s="10" t="s">
        <v>264</v>
      </c>
      <c r="B193" s="10" t="s">
        <v>71</v>
      </c>
      <c r="C193" s="10">
        <v>48</v>
      </c>
      <c r="D193" s="10">
        <v>40</v>
      </c>
      <c r="E193" s="10">
        <v>79</v>
      </c>
      <c r="F193" s="10">
        <v>72.2</v>
      </c>
      <c r="G193" s="10">
        <v>30.7</v>
      </c>
      <c r="H193" s="10">
        <v>79.599999999999994</v>
      </c>
      <c r="I193" s="10">
        <v>1448</v>
      </c>
      <c r="J193" s="10">
        <v>0.72</v>
      </c>
      <c r="K193" s="10">
        <v>50.8</v>
      </c>
      <c r="L193" s="10">
        <v>38</v>
      </c>
      <c r="M193" s="10">
        <v>1.095</v>
      </c>
      <c r="N193" s="10" t="s">
        <v>72</v>
      </c>
      <c r="O193" s="11" t="str">
        <f>IF(OR(F193&lt;Thresholds!$B$6,H193&gt;=Thresholds!$B$7,K193&gt;=Thresholds!$B$9,L193&gt;Thresholds!$B$11,G193&gt;Thresholds!$B$10),"ISOLATE",IF(AND(F193&gt;=Thresholds!$B$5,K193&lt;=Thresholds!$B$8),"SAFE","DEGRADE/USE"))</f>
        <v>ISOLATE</v>
      </c>
      <c r="P193" s="12">
        <f>Thresholds!$B$14*MIN(100-F193,40)/40+Thresholds!$B$15*MIN(H193,90)/90+Thresholds!$B$16*MIN(K193,100)/100+Thresholds!$B$17*MIN(I193,1600)/1600+Thresholds!$B$18*MIN(J193,5)/5+Thresholds!$B$19*MAX(0,G193-25)/25</f>
        <v>67.506111111111096</v>
      </c>
      <c r="Q193" s="11" t="str">
        <f>IF(P193&gt;Thresholds!$B$13,"High Risk",IF(P193&gt;Thresholds!$B$12,"Moderate Risk","Low Risk"))</f>
        <v>High Risk</v>
      </c>
      <c r="R193" s="11" t="str">
        <f>TRIM(IF(F193&lt;Thresholds!$B$6,"Low SOH; ","")&amp;IF(H193&gt;=Thresholds!$B$7,"High IR; ","")&amp;IF(K193&gt;=Thresholds!$B$9,"High Imbalance; ","")&amp;IF(L193&gt;Thresholds!$B$11,"Sustained Heat 24h; ","")&amp;IF(G193&gt;Thresholds!$B$10,"High Temp; ",""))</f>
        <v>High IR;</v>
      </c>
    </row>
    <row r="194" spans="1:18" x14ac:dyDescent="0.3">
      <c r="A194" s="10" t="s">
        <v>265</v>
      </c>
      <c r="B194" s="10" t="s">
        <v>71</v>
      </c>
      <c r="C194" s="10">
        <v>48</v>
      </c>
      <c r="D194" s="10">
        <v>40</v>
      </c>
      <c r="E194" s="10">
        <v>56.3</v>
      </c>
      <c r="F194" s="10">
        <v>88</v>
      </c>
      <c r="G194" s="10">
        <v>35.799999999999997</v>
      </c>
      <c r="H194" s="10">
        <v>52.6</v>
      </c>
      <c r="I194" s="10">
        <v>557</v>
      </c>
      <c r="J194" s="10">
        <v>1.93</v>
      </c>
      <c r="K194" s="10">
        <v>14.6</v>
      </c>
      <c r="L194" s="10">
        <v>36.6</v>
      </c>
      <c r="M194" s="10">
        <v>0.95</v>
      </c>
      <c r="N194" s="10" t="s">
        <v>72</v>
      </c>
      <c r="O194" s="11" t="str">
        <f>IF(OR(F194&lt;Thresholds!$B$6,H194&gt;=Thresholds!$B$7,K194&gt;=Thresholds!$B$9,L194&gt;Thresholds!$B$11,G194&gt;Thresholds!$B$10),"ISOLATE",IF(AND(F194&gt;=Thresholds!$B$5,K194&lt;=Thresholds!$B$8),"SAFE","DEGRADE/USE"))</f>
        <v>SAFE</v>
      </c>
      <c r="P194" s="12">
        <f>Thresholds!$B$14*MIN(100-F194,40)/40+Thresholds!$B$15*MIN(H194,90)/90+Thresholds!$B$16*MIN(K194,100)/100+Thresholds!$B$17*MIN(I194,1600)/1600+Thresholds!$B$18*MIN(J194,5)/5+Thresholds!$B$19*MAX(0,G194-25)/25</f>
        <v>35.602361111111108</v>
      </c>
      <c r="Q194" s="11" t="str">
        <f>IF(P194&gt;Thresholds!$B$13,"High Risk",IF(P194&gt;Thresholds!$B$12,"Moderate Risk","Low Risk"))</f>
        <v>Moderate Risk</v>
      </c>
      <c r="R194" s="11" t="str">
        <f>TRIM(IF(F194&lt;Thresholds!$B$6,"Low SOH; ","")&amp;IF(H194&gt;=Thresholds!$B$7,"High IR; ","")&amp;IF(K194&gt;=Thresholds!$B$9,"High Imbalance; ","")&amp;IF(L194&gt;Thresholds!$B$11,"Sustained Heat 24h; ","")&amp;IF(G194&gt;Thresholds!$B$10,"High Temp; ",""))</f>
        <v/>
      </c>
    </row>
    <row r="195" spans="1:18" x14ac:dyDescent="0.3">
      <c r="A195" s="10" t="s">
        <v>266</v>
      </c>
      <c r="B195" s="10" t="s">
        <v>71</v>
      </c>
      <c r="C195" s="10">
        <v>48</v>
      </c>
      <c r="D195" s="10">
        <v>40</v>
      </c>
      <c r="E195" s="10">
        <v>80.7</v>
      </c>
      <c r="F195" s="10">
        <v>67.3</v>
      </c>
      <c r="G195" s="10">
        <v>30.7</v>
      </c>
      <c r="H195" s="10">
        <v>76</v>
      </c>
      <c r="I195" s="10">
        <v>1389</v>
      </c>
      <c r="J195" s="10">
        <v>1.74</v>
      </c>
      <c r="K195" s="10">
        <v>68.7</v>
      </c>
      <c r="L195" s="10">
        <v>34.4</v>
      </c>
      <c r="M195" s="10">
        <v>1.0429999999999999</v>
      </c>
      <c r="N195" s="10" t="s">
        <v>72</v>
      </c>
      <c r="O195" s="11" t="str">
        <f>IF(OR(F195&lt;Thresholds!$B$6,H195&gt;=Thresholds!$B$7,K195&gt;=Thresholds!$B$9,L195&gt;Thresholds!$B$11,G195&gt;Thresholds!$B$10),"ISOLATE",IF(AND(F195&gt;=Thresholds!$B$5,K195&lt;=Thresholds!$B$8),"SAFE","DEGRADE/USE"))</f>
        <v>DEGRADE/USE</v>
      </c>
      <c r="P195" s="12">
        <f>Thresholds!$B$14*MIN(100-F195,40)/40+Thresholds!$B$15*MIN(H195,90)/90+Thresholds!$B$16*MIN(K195,100)/100+Thresholds!$B$17*MIN(I195,1600)/1600+Thresholds!$B$18*MIN(J195,5)/5+Thresholds!$B$19*MAX(0,G195-25)/25</f>
        <v>75.024861111111107</v>
      </c>
      <c r="Q195" s="11" t="str">
        <f>IF(P195&gt;Thresholds!$B$13,"High Risk",IF(P195&gt;Thresholds!$B$12,"Moderate Risk","Low Risk"))</f>
        <v>High Risk</v>
      </c>
      <c r="R195" s="11" t="str">
        <f>TRIM(IF(F195&lt;Thresholds!$B$6,"Low SOH; ","")&amp;IF(H195&gt;=Thresholds!$B$7,"High IR; ","")&amp;IF(K195&gt;=Thresholds!$B$9,"High Imbalance; ","")&amp;IF(L195&gt;Thresholds!$B$11,"Sustained Heat 24h; ","")&amp;IF(G195&gt;Thresholds!$B$10,"High Temp; ",""))</f>
        <v/>
      </c>
    </row>
    <row r="196" spans="1:18" x14ac:dyDescent="0.3">
      <c r="A196" s="10" t="s">
        <v>267</v>
      </c>
      <c r="B196" s="10" t="s">
        <v>71</v>
      </c>
      <c r="C196" s="10">
        <v>48</v>
      </c>
      <c r="D196" s="10">
        <v>40</v>
      </c>
      <c r="E196" s="10">
        <v>65.5</v>
      </c>
      <c r="F196" s="10">
        <v>72.7</v>
      </c>
      <c r="G196" s="10">
        <v>37.1</v>
      </c>
      <c r="H196" s="10">
        <v>74.099999999999994</v>
      </c>
      <c r="I196" s="10">
        <v>1108</v>
      </c>
      <c r="J196" s="10">
        <v>3.08</v>
      </c>
      <c r="K196" s="10">
        <v>56.8</v>
      </c>
      <c r="L196" s="10">
        <v>38.1</v>
      </c>
      <c r="M196" s="10">
        <v>0.91400000000000003</v>
      </c>
      <c r="N196" s="10" t="s">
        <v>72</v>
      </c>
      <c r="O196" s="11" t="str">
        <f>IF(OR(F196&lt;Thresholds!$B$6,H196&gt;=Thresholds!$B$7,K196&gt;=Thresholds!$B$9,L196&gt;Thresholds!$B$11,G196&gt;Thresholds!$B$10),"ISOLATE",IF(AND(F196&gt;=Thresholds!$B$5,K196&lt;=Thresholds!$B$8),"SAFE","DEGRADE/USE"))</f>
        <v>DEGRADE/USE</v>
      </c>
      <c r="P196" s="12">
        <f>Thresholds!$B$14*MIN(100-F196,40)/40+Thresholds!$B$15*MIN(H196,90)/90+Thresholds!$B$16*MIN(K196,100)/100+Thresholds!$B$17*MIN(I196,1600)/1600+Thresholds!$B$18*MIN(J196,5)/5+Thresholds!$B$19*MAX(0,G196-25)/25</f>
        <v>68.255833333333328</v>
      </c>
      <c r="Q196" s="11" t="str">
        <f>IF(P196&gt;Thresholds!$B$13,"High Risk",IF(P196&gt;Thresholds!$B$12,"Moderate Risk","Low Risk"))</f>
        <v>High Risk</v>
      </c>
      <c r="R196" s="11" t="str">
        <f>TRIM(IF(F196&lt;Thresholds!$B$6,"Low SOH; ","")&amp;IF(H196&gt;=Thresholds!$B$7,"High IR; ","")&amp;IF(K196&gt;=Thresholds!$B$9,"High Imbalance; ","")&amp;IF(L196&gt;Thresholds!$B$11,"Sustained Heat 24h; ","")&amp;IF(G196&gt;Thresholds!$B$10,"High Temp; ",""))</f>
        <v/>
      </c>
    </row>
    <row r="197" spans="1:18" x14ac:dyDescent="0.3">
      <c r="A197" s="10" t="s">
        <v>268</v>
      </c>
      <c r="B197" s="10" t="s">
        <v>71</v>
      </c>
      <c r="C197" s="10">
        <v>48</v>
      </c>
      <c r="D197" s="10">
        <v>40</v>
      </c>
      <c r="E197" s="10">
        <v>100</v>
      </c>
      <c r="F197" s="10">
        <v>88.9</v>
      </c>
      <c r="G197" s="10">
        <v>34.299999999999997</v>
      </c>
      <c r="H197" s="10">
        <v>50.2</v>
      </c>
      <c r="I197" s="10">
        <v>466</v>
      </c>
      <c r="J197" s="10">
        <v>2.72</v>
      </c>
      <c r="K197" s="10">
        <v>31.2</v>
      </c>
      <c r="L197" s="10">
        <v>38.799999999999997</v>
      </c>
      <c r="M197" s="10">
        <v>1.708</v>
      </c>
      <c r="N197" s="10" t="s">
        <v>72</v>
      </c>
      <c r="O197" s="11" t="str">
        <f>IF(OR(F197&lt;Thresholds!$B$6,H197&gt;=Thresholds!$B$7,K197&gt;=Thresholds!$B$9,L197&gt;Thresholds!$B$11,G197&gt;Thresholds!$B$10),"ISOLATE",IF(AND(F197&gt;=Thresholds!$B$5,K197&lt;=Thresholds!$B$8),"SAFE","DEGRADE/USE"))</f>
        <v>SAFE</v>
      </c>
      <c r="P197" s="12">
        <f>Thresholds!$B$14*MIN(100-F197,40)/40+Thresholds!$B$15*MIN(H197,90)/90+Thresholds!$B$16*MIN(K197,100)/100+Thresholds!$B$17*MIN(I197,1600)/1600+Thresholds!$B$18*MIN(J197,5)/5+Thresholds!$B$19*MAX(0,G197-25)/25</f>
        <v>37.389444444444443</v>
      </c>
      <c r="Q197" s="11" t="str">
        <f>IF(P197&gt;Thresholds!$B$13,"High Risk",IF(P197&gt;Thresholds!$B$12,"Moderate Risk","Low Risk"))</f>
        <v>Moderate Risk</v>
      </c>
      <c r="R197" s="11" t="str">
        <f>TRIM(IF(F197&lt;Thresholds!$B$6,"Low SOH; ","")&amp;IF(H197&gt;=Thresholds!$B$7,"High IR; ","")&amp;IF(K197&gt;=Thresholds!$B$9,"High Imbalance; ","")&amp;IF(L197&gt;Thresholds!$B$11,"Sustained Heat 24h; ","")&amp;IF(G197&gt;Thresholds!$B$10,"High Temp; ",""))</f>
        <v/>
      </c>
    </row>
    <row r="198" spans="1:18" x14ac:dyDescent="0.3">
      <c r="A198" s="10" t="s">
        <v>269</v>
      </c>
      <c r="B198" s="10" t="s">
        <v>71</v>
      </c>
      <c r="C198" s="10">
        <v>48</v>
      </c>
      <c r="D198" s="10">
        <v>40</v>
      </c>
      <c r="E198" s="10">
        <v>46.7</v>
      </c>
      <c r="F198" s="10">
        <v>80.3</v>
      </c>
      <c r="G198" s="10">
        <v>32.299999999999997</v>
      </c>
      <c r="H198" s="10">
        <v>52.3</v>
      </c>
      <c r="I198" s="10">
        <v>822</v>
      </c>
      <c r="J198" s="10">
        <v>4.05</v>
      </c>
      <c r="K198" s="10">
        <v>61.6</v>
      </c>
      <c r="L198" s="10">
        <v>38.1</v>
      </c>
      <c r="M198" s="10">
        <v>0.71899999999999997</v>
      </c>
      <c r="N198" s="10" t="s">
        <v>72</v>
      </c>
      <c r="O198" s="11" t="str">
        <f>IF(OR(F198&lt;Thresholds!$B$6,H198&gt;=Thresholds!$B$7,K198&gt;=Thresholds!$B$9,L198&gt;Thresholds!$B$11,G198&gt;Thresholds!$B$10),"ISOLATE",IF(AND(F198&gt;=Thresholds!$B$5,K198&lt;=Thresholds!$B$8),"SAFE","DEGRADE/USE"))</f>
        <v>DEGRADE/USE</v>
      </c>
      <c r="P198" s="12">
        <f>Thresholds!$B$14*MIN(100-F198,40)/40+Thresholds!$B$15*MIN(H198,90)/90+Thresholds!$B$16*MIN(K198,100)/100+Thresholds!$B$17*MIN(I198,1600)/1600+Thresholds!$B$18*MIN(J198,5)/5+Thresholds!$B$19*MAX(0,G198-25)/25</f>
        <v>54.732777777777784</v>
      </c>
      <c r="Q198" s="11" t="str">
        <f>IF(P198&gt;Thresholds!$B$13,"High Risk",IF(P198&gt;Thresholds!$B$12,"Moderate Risk","Low Risk"))</f>
        <v>Moderate Risk</v>
      </c>
      <c r="R198" s="11" t="str">
        <f>TRIM(IF(F198&lt;Thresholds!$B$6,"Low SOH; ","")&amp;IF(H198&gt;=Thresholds!$B$7,"High IR; ","")&amp;IF(K198&gt;=Thresholds!$B$9,"High Imbalance; ","")&amp;IF(L198&gt;Thresholds!$B$11,"Sustained Heat 24h; ","")&amp;IF(G198&gt;Thresholds!$B$10,"High Temp; ",""))</f>
        <v/>
      </c>
    </row>
    <row r="199" spans="1:18" x14ac:dyDescent="0.3">
      <c r="A199" s="10" t="s">
        <v>270</v>
      </c>
      <c r="B199" s="10" t="s">
        <v>71</v>
      </c>
      <c r="C199" s="10">
        <v>48</v>
      </c>
      <c r="D199" s="10">
        <v>40</v>
      </c>
      <c r="E199" s="10">
        <v>99.4</v>
      </c>
      <c r="F199" s="10">
        <v>71.900000000000006</v>
      </c>
      <c r="G199" s="10">
        <v>33.5</v>
      </c>
      <c r="H199" s="10">
        <v>71.2</v>
      </c>
      <c r="I199" s="10">
        <v>1281</v>
      </c>
      <c r="J199" s="10">
        <v>1.72</v>
      </c>
      <c r="K199" s="10">
        <v>57.9</v>
      </c>
      <c r="L199" s="10">
        <v>35.799999999999997</v>
      </c>
      <c r="M199" s="10">
        <v>1.3720000000000001</v>
      </c>
      <c r="N199" s="10" t="s">
        <v>72</v>
      </c>
      <c r="O199" s="11" t="str">
        <f>IF(OR(F199&lt;Thresholds!$B$6,H199&gt;=Thresholds!$B$7,K199&gt;=Thresholds!$B$9,L199&gt;Thresholds!$B$11,G199&gt;Thresholds!$B$10),"ISOLATE",IF(AND(F199&gt;=Thresholds!$B$5,K199&lt;=Thresholds!$B$8),"SAFE","DEGRADE/USE"))</f>
        <v>DEGRADE/USE</v>
      </c>
      <c r="P199" s="12">
        <f>Thresholds!$B$14*MIN(100-F199,40)/40+Thresholds!$B$15*MIN(H199,90)/90+Thresholds!$B$16*MIN(K199,100)/100+Thresholds!$B$17*MIN(I199,1600)/1600+Thresholds!$B$18*MIN(J199,5)/5+Thresholds!$B$19*MAX(0,G199-25)/25</f>
        <v>67.371527777777786</v>
      </c>
      <c r="Q199" s="11" t="str">
        <f>IF(P199&gt;Thresholds!$B$13,"High Risk",IF(P199&gt;Thresholds!$B$12,"Moderate Risk","Low Risk"))</f>
        <v>High Risk</v>
      </c>
      <c r="R199" s="11" t="str">
        <f>TRIM(IF(F199&lt;Thresholds!$B$6,"Low SOH; ","")&amp;IF(H199&gt;=Thresholds!$B$7,"High IR; ","")&amp;IF(K199&gt;=Thresholds!$B$9,"High Imbalance; ","")&amp;IF(L199&gt;Thresholds!$B$11,"Sustained Heat 24h; ","")&amp;IF(G199&gt;Thresholds!$B$10,"High Temp; ",""))</f>
        <v/>
      </c>
    </row>
    <row r="200" spans="1:18" x14ac:dyDescent="0.3">
      <c r="A200" s="10" t="s">
        <v>271</v>
      </c>
      <c r="B200" s="10" t="s">
        <v>71</v>
      </c>
      <c r="C200" s="10">
        <v>48</v>
      </c>
      <c r="D200" s="10">
        <v>40</v>
      </c>
      <c r="E200" s="10">
        <v>58.7</v>
      </c>
      <c r="F200" s="10">
        <v>97.5</v>
      </c>
      <c r="G200" s="10">
        <v>27.1</v>
      </c>
      <c r="H200" s="10">
        <v>38.299999999999997</v>
      </c>
      <c r="I200" s="10">
        <v>231</v>
      </c>
      <c r="J200" s="10">
        <v>0.53</v>
      </c>
      <c r="K200" s="10">
        <v>26.6</v>
      </c>
      <c r="L200" s="10">
        <v>34.299999999999997</v>
      </c>
      <c r="M200" s="10">
        <v>1.099</v>
      </c>
      <c r="N200" s="10" t="s">
        <v>72</v>
      </c>
      <c r="O200" s="11" t="str">
        <f>IF(OR(F200&lt;Thresholds!$B$6,H200&gt;=Thresholds!$B$7,K200&gt;=Thresholds!$B$9,L200&gt;Thresholds!$B$11,G200&gt;Thresholds!$B$10),"ISOLATE",IF(AND(F200&gt;=Thresholds!$B$5,K200&lt;=Thresholds!$B$8),"SAFE","DEGRADE/USE"))</f>
        <v>SAFE</v>
      </c>
      <c r="P200" s="12">
        <f>Thresholds!$B$14*MIN(100-F200,40)/40+Thresholds!$B$15*MIN(H200,90)/90+Thresholds!$B$16*MIN(K200,100)/100+Thresholds!$B$17*MIN(I200,1600)/1600+Thresholds!$B$18*MIN(J200,5)/5+Thresholds!$B$19*MAX(0,G200-25)/25</f>
        <v>20.54013888888889</v>
      </c>
      <c r="Q200" s="11" t="str">
        <f>IF(P200&gt;Thresholds!$B$13,"High Risk",IF(P200&gt;Thresholds!$B$12,"Moderate Risk","Low Risk"))</f>
        <v>Low Risk</v>
      </c>
      <c r="R200" s="11" t="str">
        <f>TRIM(IF(F200&lt;Thresholds!$B$6,"Low SOH; ","")&amp;IF(H200&gt;=Thresholds!$B$7,"High IR; ","")&amp;IF(K200&gt;=Thresholds!$B$9,"High Imbalance; ","")&amp;IF(L200&gt;Thresholds!$B$11,"Sustained Heat 24h; ","")&amp;IF(G200&gt;Thresholds!$B$10,"High Temp; ",""))</f>
        <v/>
      </c>
    </row>
    <row r="201" spans="1:18" x14ac:dyDescent="0.3">
      <c r="A201" s="10" t="s">
        <v>272</v>
      </c>
      <c r="B201" s="10" t="s">
        <v>71</v>
      </c>
      <c r="C201" s="10">
        <v>48</v>
      </c>
      <c r="D201" s="10">
        <v>40</v>
      </c>
      <c r="E201" s="10">
        <v>81.8</v>
      </c>
      <c r="F201" s="10">
        <v>75</v>
      </c>
      <c r="G201" s="10">
        <v>23.3</v>
      </c>
      <c r="H201" s="10">
        <v>63.7</v>
      </c>
      <c r="I201" s="10">
        <v>1032</v>
      </c>
      <c r="J201" s="10">
        <v>3.65</v>
      </c>
      <c r="K201" s="10">
        <v>55.1</v>
      </c>
      <c r="L201" s="10">
        <v>27.2</v>
      </c>
      <c r="M201" s="10">
        <v>1.179</v>
      </c>
      <c r="N201" s="10" t="s">
        <v>72</v>
      </c>
      <c r="O201" s="11" t="str">
        <f>IF(OR(F201&lt;Thresholds!$B$6,H201&gt;=Thresholds!$B$7,K201&gt;=Thresholds!$B$9,L201&gt;Thresholds!$B$11,G201&gt;Thresholds!$B$10),"ISOLATE",IF(AND(F201&gt;=Thresholds!$B$5,K201&lt;=Thresholds!$B$8),"SAFE","DEGRADE/USE"))</f>
        <v>DEGRADE/USE</v>
      </c>
      <c r="P201" s="12">
        <f>Thresholds!$B$14*MIN(100-F201,40)/40+Thresholds!$B$15*MIN(H201,90)/90+Thresholds!$B$16*MIN(K201,100)/100+Thresholds!$B$17*MIN(I201,1600)/1600+Thresholds!$B$18*MIN(J201,5)/5+Thresholds!$B$19*MAX(0,G201-25)/25</f>
        <v>60.68944444444444</v>
      </c>
      <c r="Q201" s="11" t="str">
        <f>IF(P201&gt;Thresholds!$B$13,"High Risk",IF(P201&gt;Thresholds!$B$12,"Moderate Risk","Low Risk"))</f>
        <v>Moderate Risk</v>
      </c>
      <c r="R201" s="11" t="str">
        <f>TRIM(IF(F201&lt;Thresholds!$B$6,"Low SOH; ","")&amp;IF(H201&gt;=Thresholds!$B$7,"High IR; ","")&amp;IF(K201&gt;=Thresholds!$B$9,"High Imbalance; ","")&amp;IF(L201&gt;Thresholds!$B$11,"Sustained Heat 24h; ","")&amp;IF(G201&gt;Thresholds!$B$10,"High Temp; ",""))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tabSelected="1" zoomScaleNormal="100" workbookViewId="0">
      <pane ySplit="3" topLeftCell="A4" activePane="bottomLeft" state="frozen"/>
      <selection pane="bottomLeft" activeCell="F14" sqref="F14"/>
    </sheetView>
  </sheetViews>
  <sheetFormatPr defaultColWidth="8.6640625" defaultRowHeight="14.4" x14ac:dyDescent="0.3"/>
  <cols>
    <col min="1" max="1" width="42" customWidth="1"/>
    <col min="2" max="2" width="16" customWidth="1"/>
    <col min="3" max="3" width="18" customWidth="1"/>
    <col min="4" max="4" width="16" customWidth="1"/>
    <col min="5" max="7" width="12" customWidth="1"/>
  </cols>
  <sheetData>
    <row r="1" spans="1:3" ht="16.8" x14ac:dyDescent="0.3">
      <c r="A1" s="1" t="s">
        <v>273</v>
      </c>
    </row>
    <row r="2" spans="1:3" x14ac:dyDescent="0.3">
      <c r="A2" s="2" t="s">
        <v>274</v>
      </c>
    </row>
    <row r="4" spans="1:3" x14ac:dyDescent="0.3">
      <c r="A4" s="8" t="s">
        <v>275</v>
      </c>
    </row>
    <row r="5" spans="1:3" x14ac:dyDescent="0.3">
      <c r="A5" s="3" t="s">
        <v>276</v>
      </c>
      <c r="B5" s="3" t="s">
        <v>277</v>
      </c>
      <c r="C5" s="3" t="s">
        <v>278</v>
      </c>
    </row>
    <row r="6" spans="1:3" x14ac:dyDescent="0.3">
      <c r="A6" s="9" t="s">
        <v>279</v>
      </c>
      <c r="B6" s="9">
        <f>COUNTIF(Data!$O$2:$O$201,"SAFE")</f>
        <v>84</v>
      </c>
      <c r="C6" s="13">
        <f>B6/200</f>
        <v>0.42</v>
      </c>
    </row>
    <row r="7" spans="1:3" x14ac:dyDescent="0.3">
      <c r="A7" s="9" t="s">
        <v>280</v>
      </c>
      <c r="B7" s="9">
        <f>COUNTIF(Data!$O$2:$O$201,"DEGRADE/USE")</f>
        <v>91</v>
      </c>
      <c r="C7" s="13">
        <f>B7/200</f>
        <v>0.45500000000000002</v>
      </c>
    </row>
    <row r="8" spans="1:3" x14ac:dyDescent="0.3">
      <c r="A8" s="9" t="s">
        <v>281</v>
      </c>
      <c r="B8" s="9">
        <f>COUNTIF(Data!$O$2:$O$201,"ISOLATE")</f>
        <v>25</v>
      </c>
      <c r="C8" s="13">
        <f>B8/200</f>
        <v>0.125</v>
      </c>
    </row>
    <row r="9" spans="1:3" x14ac:dyDescent="0.3">
      <c r="A9" s="8" t="s">
        <v>282</v>
      </c>
      <c r="B9" s="9">
        <f>SUM(B6:B8)</f>
        <v>200</v>
      </c>
    </row>
    <row r="12" spans="1:3" x14ac:dyDescent="0.3">
      <c r="A12" s="8" t="s">
        <v>283</v>
      </c>
    </row>
    <row r="13" spans="1:3" x14ac:dyDescent="0.3">
      <c r="A13" s="3" t="s">
        <v>276</v>
      </c>
      <c r="B13" s="3" t="s">
        <v>277</v>
      </c>
      <c r="C13" s="3" t="s">
        <v>278</v>
      </c>
    </row>
    <row r="14" spans="1:3" x14ac:dyDescent="0.3">
      <c r="A14" s="9" t="s">
        <v>284</v>
      </c>
      <c r="B14" s="9">
        <f>COUNTIF(Data!$Q$2:$Q$201,"Low Risk")</f>
        <v>36</v>
      </c>
      <c r="C14" s="13">
        <f>B14/200</f>
        <v>0.18</v>
      </c>
    </row>
    <row r="15" spans="1:3" x14ac:dyDescent="0.3">
      <c r="A15" s="9" t="s">
        <v>285</v>
      </c>
      <c r="B15" s="9">
        <f>COUNTIF(Data!$Q$2:$Q$201,"Moderate Risk")</f>
        <v>110</v>
      </c>
      <c r="C15" s="13">
        <f>B15/200</f>
        <v>0.55000000000000004</v>
      </c>
    </row>
    <row r="16" spans="1:3" x14ac:dyDescent="0.3">
      <c r="A16" s="9" t="s">
        <v>286</v>
      </c>
      <c r="B16" s="9">
        <f>COUNTIF(Data!$Q$2:$Q$201,"High Risk")</f>
        <v>54</v>
      </c>
      <c r="C16" s="13">
        <f>B16/200</f>
        <v>0.27</v>
      </c>
    </row>
    <row r="19" spans="1:6" x14ac:dyDescent="0.3">
      <c r="A19" s="8" t="s">
        <v>287</v>
      </c>
    </row>
    <row r="20" spans="1:6" ht="26.4" x14ac:dyDescent="0.3">
      <c r="A20" s="3"/>
      <c r="B20" s="3" t="s">
        <v>72</v>
      </c>
      <c r="C20" s="3" t="s">
        <v>80</v>
      </c>
      <c r="D20" s="3" t="s">
        <v>282</v>
      </c>
    </row>
    <row r="21" spans="1:6" x14ac:dyDescent="0.3">
      <c r="A21" s="9" t="s">
        <v>279</v>
      </c>
      <c r="B21" s="9">
        <f>COUNTIFS(Data!$O$2:$O$201,"SAFE",Data!$N$2:$N$201,"AVAILABLE")</f>
        <v>84</v>
      </c>
      <c r="C21" s="9">
        <f>COUNTIFS(Data!$O$2:$O$201,"SAFE",Data!$N$2:$N$201,"REVIEW/QUARANTINE")</f>
        <v>0</v>
      </c>
      <c r="D21" s="9">
        <f>B21+C21</f>
        <v>84</v>
      </c>
    </row>
    <row r="22" spans="1:6" x14ac:dyDescent="0.3">
      <c r="A22" s="9" t="s">
        <v>280</v>
      </c>
      <c r="B22" s="9">
        <f>COUNTIFS(Data!$O$2:$O$201,"DEGRADE/USE",Data!$N$2:$N$201,"AVAILABLE")</f>
        <v>89</v>
      </c>
      <c r="C22" s="9">
        <f>COUNTIFS(Data!$O$2:$O$201,"DEGRADE/USE",Data!$N$2:$N$201,"REVIEW/QUARANTINE")</f>
        <v>2</v>
      </c>
      <c r="D22" s="9">
        <f>B22+C22</f>
        <v>91</v>
      </c>
    </row>
    <row r="23" spans="1:6" x14ac:dyDescent="0.3">
      <c r="A23" s="9" t="s">
        <v>281</v>
      </c>
      <c r="B23" s="9">
        <f>COUNTIFS(Data!$O$2:$O$201,"ISOLATE",Data!$N$2:$N$201,"AVAILABLE")</f>
        <v>15</v>
      </c>
      <c r="C23" s="9">
        <f>COUNTIFS(Data!$O$2:$O$201,"ISOLATE",Data!$N$2:$N$201,"REVIEW/QUARANTINE")</f>
        <v>10</v>
      </c>
      <c r="D23" s="9">
        <f>B23+C23</f>
        <v>25</v>
      </c>
    </row>
    <row r="24" spans="1:6" x14ac:dyDescent="0.3">
      <c r="A24" s="8" t="s">
        <v>282</v>
      </c>
      <c r="B24" s="9">
        <f>SUM(B21:B23)</f>
        <v>188</v>
      </c>
      <c r="C24" s="9">
        <f>SUM(C21:C23)</f>
        <v>12</v>
      </c>
      <c r="D24" s="9">
        <f>SUM(D21:D23)</f>
        <v>200</v>
      </c>
    </row>
    <row r="27" spans="1:6" x14ac:dyDescent="0.3">
      <c r="A27" s="8" t="s">
        <v>288</v>
      </c>
    </row>
    <row r="28" spans="1:6" x14ac:dyDescent="0.3">
      <c r="A28" s="3" t="s">
        <v>289</v>
      </c>
      <c r="B28" s="3" t="s">
        <v>290</v>
      </c>
      <c r="C28" s="3" t="s">
        <v>291</v>
      </c>
      <c r="D28" s="3" t="s">
        <v>292</v>
      </c>
      <c r="E28" s="3" t="s">
        <v>293</v>
      </c>
      <c r="F28" s="3" t="s">
        <v>294</v>
      </c>
    </row>
    <row r="29" spans="1:6" x14ac:dyDescent="0.3">
      <c r="A29" s="9" t="s">
        <v>295</v>
      </c>
      <c r="B29" s="14">
        <f>AVERAGE(Data!$F$2:$F$201)</f>
        <v>80.06699999999995</v>
      </c>
      <c r="C29" s="14">
        <f>MEDIAN(Data!$F$2:$F$201)</f>
        <v>80.099999999999994</v>
      </c>
      <c r="D29" s="14">
        <f>STDEV(Data!$F$2:$F$201)</f>
        <v>9.3049568569964318</v>
      </c>
      <c r="E29" s="14">
        <f>MIN(Data!$F$2:$F$201)</f>
        <v>58</v>
      </c>
      <c r="F29" s="14">
        <f>MAX(Data!$F$2:$F$201)</f>
        <v>100</v>
      </c>
    </row>
    <row r="30" spans="1:6" x14ac:dyDescent="0.3">
      <c r="A30" s="9" t="s">
        <v>296</v>
      </c>
      <c r="B30" s="14">
        <f>AVERAGE(Data!$H$2:$H$201)</f>
        <v>60.946000000000005</v>
      </c>
      <c r="C30" s="14">
        <f>MEDIAN(Data!$H$2:$H$201)</f>
        <v>60.7</v>
      </c>
      <c r="D30" s="14">
        <f>STDEV(Data!$H$2:$H$201)</f>
        <v>11.383536732611319</v>
      </c>
      <c r="E30" s="14">
        <f>MIN(Data!$H$2:$H$201)</f>
        <v>33.6</v>
      </c>
      <c r="F30" s="14">
        <f>MAX(Data!$H$2:$H$201)</f>
        <v>89.9</v>
      </c>
    </row>
    <row r="31" spans="1:6" x14ac:dyDescent="0.3">
      <c r="A31" s="9" t="s">
        <v>297</v>
      </c>
      <c r="B31" s="14">
        <f>AVERAGE(Data!$K$2:$K$201)</f>
        <v>47.635999999999996</v>
      </c>
      <c r="C31" s="14">
        <f>MEDIAN(Data!$K$2:$K$201)</f>
        <v>48.2</v>
      </c>
      <c r="D31" s="14">
        <f>STDEV(Data!$K$2:$K$201)</f>
        <v>19.560528504539086</v>
      </c>
      <c r="E31" s="14">
        <f>MIN(Data!$K$2:$K$201)</f>
        <v>6.1</v>
      </c>
      <c r="F31" s="14">
        <f>MAX(Data!$K$2:$K$201)</f>
        <v>118</v>
      </c>
    </row>
    <row r="32" spans="1:6" x14ac:dyDescent="0.3">
      <c r="A32" s="9" t="s">
        <v>298</v>
      </c>
      <c r="B32" s="14">
        <f>AVERAGE(Data!$G$2:$G$201)</f>
        <v>31.444500000000019</v>
      </c>
      <c r="C32" s="14">
        <f>MEDIAN(Data!$G$2:$G$201)</f>
        <v>30.85</v>
      </c>
      <c r="D32" s="14">
        <f>STDEV(Data!$G$2:$G$201)</f>
        <v>5.337924403236924</v>
      </c>
      <c r="E32" s="14">
        <f>MIN(Data!$G$2:$G$201)</f>
        <v>18</v>
      </c>
      <c r="F32" s="14">
        <f>MAX(Data!$G$2:$G$201)</f>
        <v>51</v>
      </c>
    </row>
    <row r="33" spans="1:6" x14ac:dyDescent="0.3">
      <c r="A33" s="9" t="s">
        <v>299</v>
      </c>
      <c r="B33" s="14">
        <f>AVERAGE(Data!$L$2:$L$201)</f>
        <v>35.51550000000001</v>
      </c>
      <c r="C33" s="14">
        <f>MEDIAN(Data!$L$2:$L$201)</f>
        <v>36.049999999999997</v>
      </c>
      <c r="D33" s="14">
        <f>STDEV(Data!$L$2:$L$201)</f>
        <v>5.6928333461938179</v>
      </c>
      <c r="E33" s="14">
        <f>MIN(Data!$L$2:$L$201)</f>
        <v>21.1</v>
      </c>
      <c r="F33" s="14">
        <f>MAX(Data!$L$2:$L$201)</f>
        <v>53</v>
      </c>
    </row>
    <row r="34" spans="1:6" x14ac:dyDescent="0.3">
      <c r="A34" s="9" t="s">
        <v>300</v>
      </c>
      <c r="B34" s="14">
        <f>AVERAGE(Data!$I$2:$I$201)</f>
        <v>844.49</v>
      </c>
      <c r="C34" s="14">
        <f>MEDIAN(Data!$I$2:$I$201)</f>
        <v>865.5</v>
      </c>
      <c r="D34" s="14">
        <f>STDEV(Data!$I$2:$I$201)</f>
        <v>443.34253451994971</v>
      </c>
      <c r="E34" s="14">
        <f>MIN(Data!$I$2:$I$201)</f>
        <v>42</v>
      </c>
      <c r="F34" s="14">
        <f>MAX(Data!$I$2:$I$201)</f>
        <v>1592</v>
      </c>
    </row>
    <row r="35" spans="1:6" x14ac:dyDescent="0.3">
      <c r="A35" s="9" t="s">
        <v>301</v>
      </c>
      <c r="B35" s="14">
        <f>AVERAGE(Data!$J$2:$J$201)</f>
        <v>2.4460000000000011</v>
      </c>
      <c r="C35" s="14">
        <f>MEDIAN(Data!$J$2:$J$201)</f>
        <v>2.3650000000000002</v>
      </c>
      <c r="D35" s="14">
        <f>STDEV(Data!$J$2:$J$201)</f>
        <v>1.3822303729914516</v>
      </c>
      <c r="E35" s="14">
        <f>MIN(Data!$J$2:$J$201)</f>
        <v>0.23</v>
      </c>
      <c r="F35" s="14">
        <f>MAX(Data!$J$2:$J$201)</f>
        <v>4.97</v>
      </c>
    </row>
    <row r="36" spans="1:6" x14ac:dyDescent="0.3">
      <c r="A36" s="9" t="s">
        <v>302</v>
      </c>
      <c r="B36" s="14">
        <f>AVERAGE(Data!$E$2:$E$201)</f>
        <v>73.692999999999984</v>
      </c>
      <c r="C36" s="14">
        <f>MEDIAN(Data!$E$2:$E$201)</f>
        <v>74.75</v>
      </c>
      <c r="D36" s="14">
        <f>STDEV(Data!$E$2:$E$201)</f>
        <v>18.467832988100739</v>
      </c>
      <c r="E36" s="14">
        <f>MIN(Data!$E$2:$E$201)</f>
        <v>25.2</v>
      </c>
      <c r="F36" s="14">
        <f>MAX(Data!$E$2:$E$201)</f>
        <v>100</v>
      </c>
    </row>
    <row r="37" spans="1:6" x14ac:dyDescent="0.3">
      <c r="A37" s="9" t="s">
        <v>303</v>
      </c>
      <c r="B37" s="14">
        <f>AVERAGE(Data!$M$2:$M$201)</f>
        <v>1.1251350000000004</v>
      </c>
      <c r="C37" s="14">
        <f>MEDIAN(Data!$M$2:$M$201)</f>
        <v>1.1324999999999998</v>
      </c>
      <c r="D37" s="14">
        <f>STDEV(Data!$M$2:$M$201)</f>
        <v>0.30834086205213734</v>
      </c>
      <c r="E37" s="14">
        <f>MIN(Data!$M$2:$M$201)</f>
        <v>0.39900000000000002</v>
      </c>
      <c r="F37" s="14">
        <f>MAX(Data!$M$2:$M$201)</f>
        <v>1.8919999999999999</v>
      </c>
    </row>
    <row r="38" spans="1:6" x14ac:dyDescent="0.3">
      <c r="A38" s="9" t="s">
        <v>304</v>
      </c>
      <c r="B38" s="14">
        <f>AVERAGE(Data!$P$2:$P$201)</f>
        <v>52.927331944444497</v>
      </c>
      <c r="C38" s="14">
        <f>MEDIAN(Data!$P$2:$P$201)</f>
        <v>51.719930555555557</v>
      </c>
      <c r="D38" s="14">
        <f>STDEV(Data!$P$2:$P$201)</f>
        <v>17.499912711741295</v>
      </c>
      <c r="E38" s="14">
        <f>MIN(Data!$P$2:$P$201)</f>
        <v>15.174027777777779</v>
      </c>
      <c r="F38" s="14">
        <f>MAX(Data!$P$2:$P$201)</f>
        <v>93.952777777777769</v>
      </c>
    </row>
    <row r="41" spans="1:6" x14ac:dyDescent="0.3">
      <c r="A41" s="8" t="s">
        <v>305</v>
      </c>
    </row>
    <row r="42" spans="1:6" ht="26.4" x14ac:dyDescent="0.3">
      <c r="A42" s="3" t="s">
        <v>289</v>
      </c>
      <c r="B42" s="3" t="s">
        <v>306</v>
      </c>
      <c r="C42" s="3" t="s">
        <v>307</v>
      </c>
      <c r="D42" s="3" t="s">
        <v>308</v>
      </c>
    </row>
    <row r="43" spans="1:6" x14ac:dyDescent="0.3">
      <c r="A43" s="9" t="s">
        <v>295</v>
      </c>
      <c r="B43" s="14">
        <f>AVERAGEIFS(Data!$F$2:$F$201,Data!$O$2:$O$201,"SAFE")</f>
        <v>88.061904761904785</v>
      </c>
      <c r="C43" s="14">
        <f>AVERAGEIFS(Data!$F$2:$F$201,Data!$O$2:$O$201,"DEGRADE/USE")</f>
        <v>74.102197802197807</v>
      </c>
      <c r="D43" s="14">
        <f>AVERAGEIFS(Data!$F$2:$F$201,Data!$O$2:$O$201,"ISOLATE")</f>
        <v>74.915999999999997</v>
      </c>
    </row>
    <row r="44" spans="1:6" x14ac:dyDescent="0.3">
      <c r="A44" s="9" t="s">
        <v>296</v>
      </c>
      <c r="B44" s="14">
        <f>AVERAGEIFS(Data!$H$2:$H$201,Data!$O$2:$O$201,"SAFE")</f>
        <v>51.897619047619052</v>
      </c>
      <c r="C44" s="14">
        <f>AVERAGEIFS(Data!$H$2:$H$201,Data!$O$2:$O$201,"DEGRADE/USE")</f>
        <v>66.899999999999991</v>
      </c>
      <c r="D44" s="14">
        <f>AVERAGEIFS(Data!$H$2:$H$201,Data!$O$2:$O$201,"ISOLATE")</f>
        <v>69.676000000000002</v>
      </c>
    </row>
    <row r="45" spans="1:6" x14ac:dyDescent="0.3">
      <c r="A45" s="9" t="s">
        <v>297</v>
      </c>
      <c r="B45" s="14">
        <f>AVERAGEIFS(Data!$K$2:$K$201,Data!$O$2:$O$201,"SAFE")</f>
        <v>31.576190476190472</v>
      </c>
      <c r="C45" s="14">
        <f>AVERAGEIFS(Data!$K$2:$K$201,Data!$O$2:$O$201,"DEGRADE/USE")</f>
        <v>58.863736263736278</v>
      </c>
      <c r="D45" s="14">
        <f>AVERAGEIFS(Data!$K$2:$K$201,Data!$O$2:$O$201,"ISOLATE")</f>
        <v>60.728000000000002</v>
      </c>
    </row>
    <row r="46" spans="1:6" x14ac:dyDescent="0.3">
      <c r="A46" s="9" t="s">
        <v>300</v>
      </c>
      <c r="B46" s="14">
        <f>AVERAGEIFS(Data!$I$2:$I$201,Data!$O$2:$O$201,"SAFE")</f>
        <v>473.34523809523807</v>
      </c>
      <c r="C46" s="14">
        <f>AVERAGEIFS(Data!$I$2:$I$201,Data!$O$2:$O$201,"DEGRADE/USE")</f>
        <v>1110.3736263736264</v>
      </c>
      <c r="D46" s="14">
        <f>AVERAGEIFS(Data!$I$2:$I$201,Data!$O$2:$O$201,"ISOLATE")</f>
        <v>1123.72</v>
      </c>
    </row>
    <row r="47" spans="1:6" x14ac:dyDescent="0.3">
      <c r="A47" s="9" t="s">
        <v>301</v>
      </c>
      <c r="B47" s="14">
        <f>AVERAGEIFS(Data!$J$2:$J$201,Data!$O$2:$O$201,"SAFE")</f>
        <v>2.1713095238095241</v>
      </c>
      <c r="C47" s="14">
        <f>AVERAGEIFS(Data!$J$2:$J$201,Data!$O$2:$O$201,"DEGRADE/USE")</f>
        <v>2.7268131868131862</v>
      </c>
      <c r="D47" s="14">
        <f>AVERAGEIFS(Data!$J$2:$J$201,Data!$O$2:$O$201,"ISOLATE")</f>
        <v>2.3468000000000004</v>
      </c>
    </row>
    <row r="48" spans="1:6" x14ac:dyDescent="0.3">
      <c r="A48" s="9" t="s">
        <v>304</v>
      </c>
      <c r="B48" s="14">
        <f>AVERAGEIFS(Data!$P$2:$P$201,Data!$O$2:$O$201,"SAFE")</f>
        <v>37.554889219576701</v>
      </c>
      <c r="C48" s="14">
        <f>AVERAGEIFS(Data!$P$2:$P$201,Data!$O$2:$O$201,"DEGRADE/USE")</f>
        <v>63.836053113553106</v>
      </c>
      <c r="D48" s="14">
        <f>AVERAGEIFS(Data!$P$2:$P$201,Data!$O$2:$O$201,"ISOLATE")</f>
        <v>64.870994444444449</v>
      </c>
    </row>
    <row r="51" spans="1:8" x14ac:dyDescent="0.3">
      <c r="A51" s="8" t="s">
        <v>309</v>
      </c>
    </row>
    <row r="52" spans="1:8" x14ac:dyDescent="0.3">
      <c r="A52" s="3"/>
      <c r="B52" s="3" t="s">
        <v>310</v>
      </c>
      <c r="C52" s="3" t="s">
        <v>311</v>
      </c>
      <c r="D52" s="3" t="s">
        <v>312</v>
      </c>
      <c r="E52" s="3" t="s">
        <v>313</v>
      </c>
      <c r="F52" s="3" t="s">
        <v>314</v>
      </c>
      <c r="G52" s="3" t="s">
        <v>315</v>
      </c>
      <c r="H52" s="3" t="s">
        <v>316</v>
      </c>
    </row>
    <row r="53" spans="1:8" x14ac:dyDescent="0.3">
      <c r="A53" s="8" t="s">
        <v>310</v>
      </c>
      <c r="B53" s="14">
        <f>CORREL(Data!$F$2:$F$201,Data!$F$2:$F$201)</f>
        <v>1</v>
      </c>
      <c r="C53" s="14">
        <f>CORREL(Data!$F$2:$F$201,Data!$H$2:$H$201)</f>
        <v>-0.90829793962406347</v>
      </c>
      <c r="D53" s="14">
        <f>CORREL(Data!$F$2:$F$201,Data!$K$2:$K$201)</f>
        <v>-0.82964112440948967</v>
      </c>
      <c r="E53" s="14">
        <f>CORREL(Data!$F$2:$F$201,Data!$G$2:$G$201)</f>
        <v>4.434707723276235E-2</v>
      </c>
      <c r="F53" s="14">
        <f>CORREL(Data!$F$2:$F$201,Data!$I$2:$I$201)</f>
        <v>-0.89257155015821299</v>
      </c>
      <c r="G53" s="14">
        <f>CORREL(Data!$F$2:$F$201,Data!$J$2:$J$201)</f>
        <v>-0.39359611039703002</v>
      </c>
      <c r="H53" s="14">
        <f>CORREL(Data!$F$2:$F$201,Data!$P$2:$P$201)</f>
        <v>-0.98355504896652801</v>
      </c>
    </row>
    <row r="54" spans="1:8" x14ac:dyDescent="0.3">
      <c r="A54" s="8" t="s">
        <v>311</v>
      </c>
      <c r="B54" s="14">
        <f>CORREL(Data!$H$2:$H$201,Data!$F$2:$F$201)</f>
        <v>-0.90829793962406347</v>
      </c>
      <c r="C54" s="14">
        <f>CORREL(Data!$H$2:$H$201,Data!$H$2:$H$201)</f>
        <v>1</v>
      </c>
      <c r="D54" s="14">
        <f>CORREL(Data!$H$2:$H$201,Data!$K$2:$K$201)</f>
        <v>0.78124557654644089</v>
      </c>
      <c r="E54" s="14">
        <f>CORREL(Data!$H$2:$H$201,Data!$G$2:$G$201)</f>
        <v>2.1921750790244478E-2</v>
      </c>
      <c r="F54" s="14">
        <f>CORREL(Data!$H$2:$H$201,Data!$I$2:$I$201)</f>
        <v>0.86564455569974441</v>
      </c>
      <c r="G54" s="14">
        <f>CORREL(Data!$H$2:$H$201,Data!$J$2:$J$201)</f>
        <v>0.30239811865556238</v>
      </c>
      <c r="H54" s="14">
        <f>CORREL(Data!$H$2:$H$201,Data!$P$2:$P$201)</f>
        <v>0.93669207832347601</v>
      </c>
    </row>
    <row r="55" spans="1:8" x14ac:dyDescent="0.3">
      <c r="A55" s="8" t="s">
        <v>312</v>
      </c>
      <c r="B55" s="14">
        <f>CORREL(Data!$K$2:$K$201,Data!$F$2:$F$201)</f>
        <v>-0.82964112440948967</v>
      </c>
      <c r="C55" s="14">
        <f>CORREL(Data!$K$2:$K$201,Data!$H$2:$H$201)</f>
        <v>0.78124557654644089</v>
      </c>
      <c r="D55" s="14">
        <f>CORREL(Data!$K$2:$K$201,Data!$K$2:$K$201)</f>
        <v>1</v>
      </c>
      <c r="E55" s="14">
        <f>CORREL(Data!$K$2:$K$201,Data!$G$2:$G$201)</f>
        <v>-7.6911242478125946E-2</v>
      </c>
      <c r="F55" s="14">
        <f>CORREL(Data!$K$2:$K$201,Data!$I$2:$I$201)</f>
        <v>0.78553047708318346</v>
      </c>
      <c r="G55" s="14">
        <f>CORREL(Data!$K$2:$K$201,Data!$J$2:$J$201)</f>
        <v>0.31316660976116595</v>
      </c>
      <c r="H55" s="14">
        <f>CORREL(Data!$K$2:$K$201,Data!$P$2:$P$201)</f>
        <v>0.88966739074257639</v>
      </c>
    </row>
    <row r="56" spans="1:8" x14ac:dyDescent="0.3">
      <c r="A56" s="8" t="s">
        <v>313</v>
      </c>
      <c r="B56" s="14">
        <f>CORREL(Data!$G$2:$G$201,Data!$F$2:$F$201)</f>
        <v>4.434707723276235E-2</v>
      </c>
      <c r="C56" s="14">
        <f>CORREL(Data!$G$2:$G$201,Data!$H$2:$H$201)</f>
        <v>2.1921750790244478E-2</v>
      </c>
      <c r="D56" s="14">
        <f>CORREL(Data!$G$2:$G$201,Data!$K$2:$K$201)</f>
        <v>-7.6911242478125946E-2</v>
      </c>
      <c r="E56" s="14">
        <f>CORREL(Data!$G$2:$G$201,Data!$G$2:$G$201)</f>
        <v>1</v>
      </c>
      <c r="F56" s="14">
        <f>CORREL(Data!$G$2:$G$201,Data!$I$2:$I$201)</f>
        <v>-3.5088306451302516E-2</v>
      </c>
      <c r="G56" s="14">
        <f>CORREL(Data!$G$2:$G$201,Data!$J$2:$J$201)</f>
        <v>-2.5518058554048182E-2</v>
      </c>
      <c r="H56" s="14">
        <f>CORREL(Data!$G$2:$G$201,Data!$P$2:$P$201)</f>
        <v>1.4751952653029889E-2</v>
      </c>
    </row>
    <row r="57" spans="1:8" x14ac:dyDescent="0.3">
      <c r="A57" s="8" t="s">
        <v>314</v>
      </c>
      <c r="B57" s="14">
        <f>CORREL(Data!$I$2:$I$201,Data!$F$2:$F$201)</f>
        <v>-0.89257155015821299</v>
      </c>
      <c r="C57" s="14">
        <f>CORREL(Data!$I$2:$I$201,Data!$H$2:$H$201)</f>
        <v>0.86564455569974441</v>
      </c>
      <c r="D57" s="14">
        <f>CORREL(Data!$I$2:$I$201,Data!$K$2:$K$201)</f>
        <v>0.78553047708318346</v>
      </c>
      <c r="E57" s="14">
        <f>CORREL(Data!$I$2:$I$201,Data!$G$2:$G$201)</f>
        <v>-3.5088306451302516E-2</v>
      </c>
      <c r="F57" s="14">
        <f>CORREL(Data!$I$2:$I$201,Data!$I$2:$I$201)</f>
        <v>1</v>
      </c>
      <c r="G57" s="14">
        <f>CORREL(Data!$I$2:$I$201,Data!$J$2:$J$201)</f>
        <v>0.12018230613357934</v>
      </c>
      <c r="H57" s="14">
        <f>CORREL(Data!$I$2:$I$201,Data!$P$2:$P$201)</f>
        <v>0.91003894933308349</v>
      </c>
    </row>
    <row r="58" spans="1:8" x14ac:dyDescent="0.3">
      <c r="A58" s="8" t="s">
        <v>315</v>
      </c>
      <c r="B58" s="14">
        <f>CORREL(Data!$J$2:$J$201,Data!$F$2:$F$201)</f>
        <v>-0.39359611039703002</v>
      </c>
      <c r="C58" s="14">
        <f>CORREL(Data!$J$2:$J$201,Data!$H$2:$H$201)</f>
        <v>0.30239811865556238</v>
      </c>
      <c r="D58" s="14">
        <f>CORREL(Data!$J$2:$J$201,Data!$K$2:$K$201)</f>
        <v>0.31316660976116595</v>
      </c>
      <c r="E58" s="14">
        <f>CORREL(Data!$J$2:$J$201,Data!$G$2:$G$201)</f>
        <v>-2.5518058554048182E-2</v>
      </c>
      <c r="F58" s="14">
        <f>CORREL(Data!$J$2:$J$201,Data!$I$2:$I$201)</f>
        <v>0.12018230613357934</v>
      </c>
      <c r="G58" s="14">
        <f>CORREL(Data!$J$2:$J$201,Data!$J$2:$J$201)</f>
        <v>0.99999999999999989</v>
      </c>
      <c r="H58" s="14">
        <f>CORREL(Data!$J$2:$J$201,Data!$P$2:$P$201)</f>
        <v>0.40457298514100881</v>
      </c>
    </row>
    <row r="59" spans="1:8" x14ac:dyDescent="0.3">
      <c r="A59" s="8" t="s">
        <v>316</v>
      </c>
      <c r="B59" s="14">
        <f>CORREL(Data!$P$2:$P$201,Data!$F$2:$F$201)</f>
        <v>-0.98355504896652801</v>
      </c>
      <c r="C59" s="14">
        <f>CORREL(Data!$P$2:$P$201,Data!$H$2:$H$201)</f>
        <v>0.93669207832347601</v>
      </c>
      <c r="D59" s="14">
        <f>CORREL(Data!$P$2:$P$201,Data!$K$2:$K$201)</f>
        <v>0.88966739074257639</v>
      </c>
      <c r="E59" s="14">
        <f>CORREL(Data!$P$2:$P$201,Data!$G$2:$G$201)</f>
        <v>1.4751952653029889E-2</v>
      </c>
      <c r="F59" s="14">
        <f>CORREL(Data!$P$2:$P$201,Data!$I$2:$I$201)</f>
        <v>0.91003894933308349</v>
      </c>
      <c r="G59" s="14">
        <f>CORREL(Data!$P$2:$P$201,Data!$J$2:$J$201)</f>
        <v>0.40457298514100881</v>
      </c>
      <c r="H59" s="14">
        <f>CORREL(Data!$P$2:$P$201,Data!$P$2:$P$201)</f>
        <v>0.99999999999999978</v>
      </c>
    </row>
    <row r="62" spans="1:8" x14ac:dyDescent="0.3">
      <c r="A62" s="8" t="s">
        <v>317</v>
      </c>
    </row>
    <row r="63" spans="1:8" x14ac:dyDescent="0.3">
      <c r="A63" s="9" t="s">
        <v>318</v>
      </c>
      <c r="B63" s="9">
        <f>COUNTIF(Data!$O$2:$O$201,"ISOLATE")</f>
        <v>25</v>
      </c>
    </row>
    <row r="64" spans="1:8" x14ac:dyDescent="0.3">
      <c r="A64" s="9" t="s">
        <v>319</v>
      </c>
      <c r="B64" s="9">
        <f>COUNTIFS(Data!$O$2:$O$201,"ISOLATE",Data!$N$2:$N$201,"AVAILABLE")</f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zoomScaleNormal="100" workbookViewId="0">
      <pane ySplit="4" topLeftCell="A5" activePane="bottomLeft" state="frozen"/>
      <selection pane="bottomLeft" activeCell="D24" sqref="D24"/>
    </sheetView>
  </sheetViews>
  <sheetFormatPr defaultColWidth="8.6640625" defaultRowHeight="14.4" x14ac:dyDescent="0.3"/>
  <cols>
    <col min="1" max="1" width="24" customWidth="1"/>
    <col min="2" max="2" width="10" customWidth="1"/>
    <col min="3" max="3" width="40" customWidth="1"/>
    <col min="4" max="4" width="60" customWidth="1"/>
  </cols>
  <sheetData>
    <row r="1" spans="1:4" ht="16.8" x14ac:dyDescent="0.3">
      <c r="A1" s="1" t="s">
        <v>0</v>
      </c>
    </row>
    <row r="2" spans="1:4" x14ac:dyDescent="0.3">
      <c r="A2" s="2" t="s">
        <v>1</v>
      </c>
    </row>
    <row r="4" spans="1:4" x14ac:dyDescent="0.3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3">
      <c r="A5" s="4" t="s">
        <v>6</v>
      </c>
      <c r="B5" s="5">
        <v>80</v>
      </c>
      <c r="C5" s="6" t="s">
        <v>7</v>
      </c>
      <c r="D5" s="7" t="s">
        <v>8</v>
      </c>
    </row>
    <row r="6" spans="1:4" x14ac:dyDescent="0.3">
      <c r="A6" s="4" t="s">
        <v>9</v>
      </c>
      <c r="B6" s="5">
        <v>60</v>
      </c>
      <c r="C6" s="6" t="s">
        <v>10</v>
      </c>
      <c r="D6" s="7" t="s">
        <v>11</v>
      </c>
    </row>
    <row r="7" spans="1:4" x14ac:dyDescent="0.3">
      <c r="A7" s="4" t="s">
        <v>12</v>
      </c>
      <c r="B7" s="5">
        <v>78</v>
      </c>
      <c r="C7" s="6" t="s">
        <v>13</v>
      </c>
      <c r="D7" s="7" t="s">
        <v>14</v>
      </c>
    </row>
    <row r="8" spans="1:4" x14ac:dyDescent="0.3">
      <c r="A8" s="4" t="s">
        <v>15</v>
      </c>
      <c r="B8" s="5">
        <v>50</v>
      </c>
      <c r="C8" s="6" t="s">
        <v>16</v>
      </c>
      <c r="D8" s="7" t="s">
        <v>17</v>
      </c>
    </row>
    <row r="9" spans="1:4" x14ac:dyDescent="0.3">
      <c r="A9" s="4" t="s">
        <v>18</v>
      </c>
      <c r="B9" s="5">
        <v>80</v>
      </c>
      <c r="C9" s="6" t="s">
        <v>19</v>
      </c>
      <c r="D9" s="7" t="s">
        <v>20</v>
      </c>
    </row>
    <row r="10" spans="1:4" x14ac:dyDescent="0.3">
      <c r="A10" s="4" t="s">
        <v>21</v>
      </c>
      <c r="B10" s="5">
        <v>45</v>
      </c>
      <c r="C10" s="6" t="s">
        <v>22</v>
      </c>
      <c r="D10" s="7" t="s">
        <v>23</v>
      </c>
    </row>
    <row r="11" spans="1:4" x14ac:dyDescent="0.3">
      <c r="A11" s="4" t="s">
        <v>24</v>
      </c>
      <c r="B11" s="5">
        <v>45</v>
      </c>
      <c r="C11" s="6" t="s">
        <v>25</v>
      </c>
      <c r="D11" s="7" t="s">
        <v>26</v>
      </c>
    </row>
    <row r="12" spans="1:4" x14ac:dyDescent="0.3">
      <c r="A12" s="4" t="s">
        <v>27</v>
      </c>
      <c r="B12" s="5">
        <v>35</v>
      </c>
      <c r="C12" s="6" t="s">
        <v>28</v>
      </c>
      <c r="D12" s="7" t="s">
        <v>29</v>
      </c>
    </row>
    <row r="13" spans="1:4" x14ac:dyDescent="0.3">
      <c r="A13" s="4" t="s">
        <v>30</v>
      </c>
      <c r="B13" s="5">
        <v>65</v>
      </c>
      <c r="C13" s="6" t="s">
        <v>31</v>
      </c>
      <c r="D13" s="7" t="s">
        <v>32</v>
      </c>
    </row>
    <row r="14" spans="1:4" x14ac:dyDescent="0.3">
      <c r="A14" s="4" t="s">
        <v>33</v>
      </c>
      <c r="B14" s="5">
        <v>35</v>
      </c>
      <c r="C14" s="6" t="s">
        <v>34</v>
      </c>
      <c r="D14" s="7" t="s">
        <v>35</v>
      </c>
    </row>
    <row r="15" spans="1:4" x14ac:dyDescent="0.3">
      <c r="A15" s="4" t="s">
        <v>36</v>
      </c>
      <c r="B15" s="5">
        <v>25</v>
      </c>
      <c r="C15" s="6" t="s">
        <v>37</v>
      </c>
      <c r="D15" s="7" t="s">
        <v>38</v>
      </c>
    </row>
    <row r="16" spans="1:4" x14ac:dyDescent="0.3">
      <c r="A16" s="4" t="s">
        <v>39</v>
      </c>
      <c r="B16" s="5">
        <v>20</v>
      </c>
      <c r="C16" s="6" t="s">
        <v>40</v>
      </c>
      <c r="D16" s="7" t="s">
        <v>41</v>
      </c>
    </row>
    <row r="17" spans="1:4" x14ac:dyDescent="0.3">
      <c r="A17" s="4" t="s">
        <v>42</v>
      </c>
      <c r="B17" s="5">
        <v>10</v>
      </c>
      <c r="C17" s="6" t="s">
        <v>43</v>
      </c>
      <c r="D17" s="7" t="s">
        <v>44</v>
      </c>
    </row>
    <row r="18" spans="1:4" x14ac:dyDescent="0.3">
      <c r="A18" s="4" t="s">
        <v>45</v>
      </c>
      <c r="B18" s="5">
        <v>5</v>
      </c>
      <c r="C18" s="6" t="s">
        <v>46</v>
      </c>
      <c r="D18" s="7" t="s">
        <v>47</v>
      </c>
    </row>
    <row r="19" spans="1:4" x14ac:dyDescent="0.3">
      <c r="A19" s="4" t="s">
        <v>48</v>
      </c>
      <c r="B19" s="5">
        <v>5</v>
      </c>
      <c r="C19" s="6" t="s">
        <v>49</v>
      </c>
      <c r="D19" s="7" t="s">
        <v>50</v>
      </c>
    </row>
    <row r="21" spans="1:4" x14ac:dyDescent="0.3">
      <c r="A21" s="8" t="s">
        <v>51</v>
      </c>
      <c r="B21" s="9">
        <f>B14+B15+B16+B17+B18+B19</f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Statistics</vt:lpstr>
      <vt:lpstr>Thresholds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Bharat_RJ</cp:lastModifiedBy>
  <cp:revision>0</cp:revision>
  <dcterms:created xsi:type="dcterms:W3CDTF">2026-07-31T09:43:17Z</dcterms:created>
  <dcterms:modified xsi:type="dcterms:W3CDTF">2026-07-31T16:05:58Z</dcterms:modified>
  <dc:language>en-US</dc:language>
</cp:coreProperties>
</file>